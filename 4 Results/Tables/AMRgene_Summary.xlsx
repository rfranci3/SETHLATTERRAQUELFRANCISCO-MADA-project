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rf12124_uga_edu/Documents/Desktop/WS_AMR_Resources/WS_AMR_ComptedProject/4 Results/Tables/"/>
    </mc:Choice>
  </mc:AlternateContent>
  <xr:revisionPtr revIDLastSave="5" documentId="8_{580D13FA-6D12-4F97-B852-946088261C9F}" xr6:coauthVersionLast="47" xr6:coauthVersionMax="47" xr10:uidLastSave="{95398291-4A4D-479F-9518-98708B5E824F}"/>
  <bookViews>
    <workbookView minimized="1" xWindow="14520" yWindow="300" windowWidth="8268" windowHeight="11484" firstSheet="3" activeTab="3" xr2:uid="{E1FAFDE7-B817-4C48-A927-3F052AF1B976}"/>
  </bookViews>
  <sheets>
    <sheet name="Variable_SumStat" sheetId="3" r:id="rId1"/>
    <sheet name="Class_SumStat" sheetId="4" r:id="rId2"/>
    <sheet name="Gene_SumState" sheetId="5" r:id="rId3"/>
    <sheet name="GeneBLATEM_ClassicTable" sheetId="8" r:id="rId4"/>
    <sheet name="Gene_ClassicTable" sheetId="7" r:id="rId5"/>
    <sheet name="Raw_Clean" sheetId="2" r:id="rId6"/>
  </sheets>
  <calcPr calcId="0"/>
  <pivotCaches>
    <pivotCache cacheId="34" r:id="rId7"/>
  </pivotCaches>
</workbook>
</file>

<file path=xl/calcChain.xml><?xml version="1.0" encoding="utf-8"?>
<calcChain xmlns="http://schemas.openxmlformats.org/spreadsheetml/2006/main">
  <c r="M35" i="8" l="1"/>
  <c r="N31" i="8"/>
  <c r="O31" i="8"/>
  <c r="P31" i="8"/>
  <c r="Q31" i="8"/>
  <c r="R31" i="8"/>
  <c r="S31" i="8"/>
  <c r="T31" i="8"/>
  <c r="U31" i="8"/>
  <c r="N33" i="8"/>
  <c r="O33" i="8"/>
  <c r="P33" i="8"/>
  <c r="Q33" i="8"/>
  <c r="R33" i="8"/>
  <c r="S33" i="8"/>
  <c r="T33" i="8"/>
  <c r="U33" i="8"/>
  <c r="M33" i="8"/>
  <c r="M31" i="8"/>
  <c r="U2" i="8"/>
  <c r="T2" i="8"/>
  <c r="S2" i="8"/>
  <c r="R2" i="8"/>
  <c r="R22" i="8" s="1"/>
  <c r="Q2" i="8"/>
  <c r="P2" i="8"/>
  <c r="P22" i="8" s="1"/>
  <c r="O2" i="8"/>
  <c r="O22" i="8" s="1"/>
  <c r="N2" i="8"/>
  <c r="Q22" i="8"/>
  <c r="N22" i="8"/>
  <c r="S22" i="8"/>
  <c r="T22" i="8"/>
  <c r="U22" i="8"/>
  <c r="M22" i="8"/>
  <c r="M2" i="8"/>
  <c r="C21" i="8"/>
  <c r="D21" i="8"/>
  <c r="E21" i="8"/>
  <c r="F21" i="8"/>
  <c r="R21" i="8" s="1"/>
  <c r="G21" i="8"/>
  <c r="H21" i="8"/>
  <c r="I21" i="8"/>
  <c r="J21" i="8"/>
  <c r="U16" i="8" s="1"/>
  <c r="B21" i="8"/>
  <c r="B22" i="8" s="1"/>
  <c r="O29" i="8"/>
  <c r="G22" i="8"/>
  <c r="N21" i="8"/>
  <c r="Q21" i="8"/>
  <c r="T19" i="8"/>
  <c r="S21" i="8"/>
  <c r="E23" i="8"/>
  <c r="P19" i="8"/>
  <c r="C22" i="8"/>
  <c r="T20" i="8"/>
  <c r="T30" i="8" s="1"/>
  <c r="S20" i="8"/>
  <c r="S30" i="8" s="1"/>
  <c r="Q20" i="8"/>
  <c r="Q30" i="8" s="1"/>
  <c r="P20" i="8"/>
  <c r="P30" i="8" s="1"/>
  <c r="O20" i="8"/>
  <c r="O30" i="8" s="1"/>
  <c r="N20" i="8"/>
  <c r="N30" i="8" s="1"/>
  <c r="M20" i="8"/>
  <c r="M30" i="8" s="1"/>
  <c r="U19" i="8"/>
  <c r="S19" i="8"/>
  <c r="Q19" i="8"/>
  <c r="O19" i="8"/>
  <c r="N19" i="8"/>
  <c r="M19" i="8"/>
  <c r="S18" i="8"/>
  <c r="S29" i="8" s="1"/>
  <c r="Q18" i="8"/>
  <c r="O18" i="8"/>
  <c r="N18" i="8"/>
  <c r="M18" i="8"/>
  <c r="M29" i="8" s="1"/>
  <c r="S17" i="8"/>
  <c r="R17" i="8"/>
  <c r="Q17" i="8"/>
  <c r="O17" i="8"/>
  <c r="N17" i="8"/>
  <c r="M17" i="8"/>
  <c r="T16" i="8"/>
  <c r="S16" i="8"/>
  <c r="S28" i="8" s="1"/>
  <c r="R16" i="8"/>
  <c r="R28" i="8" s="1"/>
  <c r="Q16" i="8"/>
  <c r="Q28" i="8" s="1"/>
  <c r="P16" i="8"/>
  <c r="O16" i="8"/>
  <c r="O28" i="8" s="1"/>
  <c r="N16" i="8"/>
  <c r="N28" i="8" s="1"/>
  <c r="M16" i="8"/>
  <c r="S15" i="8"/>
  <c r="S27" i="8" s="1"/>
  <c r="R15" i="8"/>
  <c r="R27" i="8" s="1"/>
  <c r="Q15" i="8"/>
  <c r="Q27" i="8" s="1"/>
  <c r="O15" i="8"/>
  <c r="O27" i="8" s="1"/>
  <c r="N15" i="8"/>
  <c r="N27" i="8" s="1"/>
  <c r="M15" i="8"/>
  <c r="M27" i="8" s="1"/>
  <c r="S14" i="8"/>
  <c r="Q14" i="8"/>
  <c r="O14" i="8"/>
  <c r="N14" i="8"/>
  <c r="N26" i="8" s="1"/>
  <c r="M14" i="8"/>
  <c r="U13" i="8"/>
  <c r="S13" i="8"/>
  <c r="S26" i="8" s="1"/>
  <c r="Q13" i="8"/>
  <c r="O13" i="8"/>
  <c r="O26" i="8" s="1"/>
  <c r="N13" i="8"/>
  <c r="M13" i="8"/>
  <c r="M26" i="8" s="1"/>
  <c r="T12" i="8"/>
  <c r="S12" i="8"/>
  <c r="Q12" i="8"/>
  <c r="P12" i="8"/>
  <c r="O12" i="8"/>
  <c r="N12" i="8"/>
  <c r="M12" i="8"/>
  <c r="U11" i="8"/>
  <c r="S11" i="8"/>
  <c r="S25" i="8" s="1"/>
  <c r="Q11" i="8"/>
  <c r="Q25" i="8" s="1"/>
  <c r="O11" i="8"/>
  <c r="O25" i="8" s="1"/>
  <c r="N11" i="8"/>
  <c r="M11" i="8"/>
  <c r="M25" i="8" s="1"/>
  <c r="S10" i="8"/>
  <c r="Q10" i="8"/>
  <c r="O10" i="8"/>
  <c r="N10" i="8"/>
  <c r="M10" i="8"/>
  <c r="S9" i="8"/>
  <c r="R9" i="8"/>
  <c r="Q9" i="8"/>
  <c r="O9" i="8"/>
  <c r="N9" i="8"/>
  <c r="M9" i="8"/>
  <c r="T8" i="8"/>
  <c r="S8" i="8"/>
  <c r="R8" i="8"/>
  <c r="Q8" i="8"/>
  <c r="P8" i="8"/>
  <c r="O8" i="8"/>
  <c r="N8" i="8"/>
  <c r="M8" i="8"/>
  <c r="S7" i="8"/>
  <c r="R7" i="8"/>
  <c r="Q7" i="8"/>
  <c r="O7" i="8"/>
  <c r="N7" i="8"/>
  <c r="M7" i="8"/>
  <c r="S6" i="8"/>
  <c r="Q6" i="8"/>
  <c r="O6" i="8"/>
  <c r="N6" i="8"/>
  <c r="M6" i="8"/>
  <c r="U5" i="8"/>
  <c r="S5" i="8"/>
  <c r="Q5" i="8"/>
  <c r="O5" i="8"/>
  <c r="N5" i="8"/>
  <c r="M5" i="8"/>
  <c r="T4" i="8"/>
  <c r="S4" i="8"/>
  <c r="Q4" i="8"/>
  <c r="P4" i="8"/>
  <c r="O4" i="8"/>
  <c r="N4" i="8"/>
  <c r="M4" i="8"/>
  <c r="U3" i="8"/>
  <c r="S3" i="8"/>
  <c r="Q3" i="8"/>
  <c r="O3" i="8"/>
  <c r="O24" i="8" s="1"/>
  <c r="N3" i="8"/>
  <c r="M3" i="8"/>
  <c r="N24" i="7"/>
  <c r="O24" i="7"/>
  <c r="P24" i="7"/>
  <c r="Q24" i="7"/>
  <c r="R24" i="7"/>
  <c r="S24" i="7"/>
  <c r="T24" i="7"/>
  <c r="U24" i="7"/>
  <c r="N25" i="7"/>
  <c r="O25" i="7"/>
  <c r="P25" i="7"/>
  <c r="Q25" i="7"/>
  <c r="R25" i="7"/>
  <c r="S25" i="7"/>
  <c r="T25" i="7"/>
  <c r="U25" i="7"/>
  <c r="N26" i="7"/>
  <c r="O26" i="7"/>
  <c r="P26" i="7"/>
  <c r="Q26" i="7"/>
  <c r="R26" i="7"/>
  <c r="S26" i="7"/>
  <c r="T26" i="7"/>
  <c r="U26" i="7"/>
  <c r="N27" i="7"/>
  <c r="O27" i="7"/>
  <c r="P27" i="7"/>
  <c r="Q27" i="7"/>
  <c r="R27" i="7"/>
  <c r="S27" i="7"/>
  <c r="T27" i="7"/>
  <c r="U27" i="7"/>
  <c r="N28" i="7"/>
  <c r="O28" i="7"/>
  <c r="P28" i="7"/>
  <c r="Q28" i="7"/>
  <c r="R28" i="7"/>
  <c r="S28" i="7"/>
  <c r="T28" i="7"/>
  <c r="U28" i="7"/>
  <c r="N29" i="7"/>
  <c r="O29" i="7"/>
  <c r="P29" i="7"/>
  <c r="Q29" i="7"/>
  <c r="R29" i="7"/>
  <c r="S29" i="7"/>
  <c r="T29" i="7"/>
  <c r="U29" i="7"/>
  <c r="N30" i="7"/>
  <c r="O30" i="7"/>
  <c r="P30" i="7"/>
  <c r="Q30" i="7"/>
  <c r="R30" i="7"/>
  <c r="S30" i="7"/>
  <c r="T30" i="7"/>
  <c r="U30" i="7"/>
  <c r="N31" i="7"/>
  <c r="O31" i="7"/>
  <c r="P31" i="7"/>
  <c r="Q31" i="7"/>
  <c r="R31" i="7"/>
  <c r="S31" i="7"/>
  <c r="T31" i="7"/>
  <c r="U31" i="7"/>
  <c r="M31" i="7"/>
  <c r="M30" i="7"/>
  <c r="M29" i="7"/>
  <c r="M28" i="7"/>
  <c r="M27" i="7"/>
  <c r="M26" i="7"/>
  <c r="M25" i="7"/>
  <c r="M24" i="7"/>
  <c r="M22" i="7"/>
  <c r="U5" i="7"/>
  <c r="U6" i="7"/>
  <c r="U9" i="7"/>
  <c r="U10" i="7"/>
  <c r="U13" i="7"/>
  <c r="U14" i="7"/>
  <c r="U17" i="7"/>
  <c r="U18" i="7"/>
  <c r="U3" i="7"/>
  <c r="S11" i="7"/>
  <c r="S19" i="7"/>
  <c r="Q11" i="7"/>
  <c r="Q15" i="7"/>
  <c r="M8" i="7"/>
  <c r="M12" i="7"/>
  <c r="O10" i="7"/>
  <c r="O18" i="7"/>
  <c r="N16" i="7"/>
  <c r="C21" i="7"/>
  <c r="O7" i="7" s="1"/>
  <c r="D21" i="7"/>
  <c r="P6" i="7" s="1"/>
  <c r="E21" i="7"/>
  <c r="M5" i="7" s="1"/>
  <c r="F21" i="7"/>
  <c r="R20" i="7" s="1"/>
  <c r="G21" i="7"/>
  <c r="S5" i="7" s="1"/>
  <c r="H21" i="7"/>
  <c r="T4" i="7" s="1"/>
  <c r="I21" i="7"/>
  <c r="Q4" i="7" s="1"/>
  <c r="J21" i="7"/>
  <c r="U7" i="7" s="1"/>
  <c r="B21" i="7"/>
  <c r="N4" i="7" s="1"/>
  <c r="U4" i="8" l="1"/>
  <c r="U24" i="8" s="1"/>
  <c r="R6" i="8"/>
  <c r="U10" i="8"/>
  <c r="U12" i="8"/>
  <c r="U25" i="8" s="1"/>
  <c r="Q26" i="8"/>
  <c r="R14" i="8"/>
  <c r="U18" i="8"/>
  <c r="U29" i="8" s="1"/>
  <c r="U20" i="8"/>
  <c r="U30" i="8" s="1"/>
  <c r="F22" i="8"/>
  <c r="U21" i="8"/>
  <c r="I23" i="8"/>
  <c r="U26" i="8"/>
  <c r="R3" i="8"/>
  <c r="R4" i="8"/>
  <c r="R5" i="8"/>
  <c r="R24" i="8" s="1"/>
  <c r="U7" i="8"/>
  <c r="U9" i="8"/>
  <c r="R11" i="8"/>
  <c r="R12" i="8"/>
  <c r="R13" i="8"/>
  <c r="U15" i="8"/>
  <c r="U27" i="8" s="1"/>
  <c r="U17" i="8"/>
  <c r="U28" i="8" s="1"/>
  <c r="Q29" i="8"/>
  <c r="R19" i="8"/>
  <c r="R20" i="8"/>
  <c r="R30" i="8" s="1"/>
  <c r="S24" i="8"/>
  <c r="U6" i="8"/>
  <c r="U8" i="8"/>
  <c r="R10" i="8"/>
  <c r="U14" i="8"/>
  <c r="M28" i="8"/>
  <c r="R18" i="8"/>
  <c r="R29" i="8" s="1"/>
  <c r="N25" i="8"/>
  <c r="N29" i="8"/>
  <c r="P5" i="8"/>
  <c r="T5" i="8"/>
  <c r="P9" i="8"/>
  <c r="T9" i="8"/>
  <c r="P13" i="8"/>
  <c r="T13" i="8"/>
  <c r="P17" i="8"/>
  <c r="P28" i="8" s="1"/>
  <c r="T17" i="8"/>
  <c r="T28" i="8" s="1"/>
  <c r="O21" i="8"/>
  <c r="H22" i="8"/>
  <c r="M24" i="8"/>
  <c r="Q24" i="8"/>
  <c r="P6" i="8"/>
  <c r="T6" i="8"/>
  <c r="P10" i="8"/>
  <c r="T10" i="8"/>
  <c r="P14" i="8"/>
  <c r="T14" i="8"/>
  <c r="P18" i="8"/>
  <c r="P29" i="8" s="1"/>
  <c r="T18" i="8"/>
  <c r="T29" i="8" s="1"/>
  <c r="P21" i="8"/>
  <c r="T21" i="8"/>
  <c r="D22" i="8"/>
  <c r="N24" i="8"/>
  <c r="P3" i="8"/>
  <c r="T3" i="8"/>
  <c r="P7" i="8"/>
  <c r="T7" i="8"/>
  <c r="P11" i="8"/>
  <c r="P25" i="8" s="1"/>
  <c r="T11" i="8"/>
  <c r="T25" i="8" s="1"/>
  <c r="P15" i="8"/>
  <c r="P27" i="8" s="1"/>
  <c r="T15" i="8"/>
  <c r="T27" i="8" s="1"/>
  <c r="M21" i="8"/>
  <c r="P13" i="7"/>
  <c r="T14" i="7"/>
  <c r="N14" i="7"/>
  <c r="O9" i="7"/>
  <c r="P12" i="7"/>
  <c r="S8" i="7"/>
  <c r="N21" i="7"/>
  <c r="O3" i="7"/>
  <c r="O14" i="7"/>
  <c r="O6" i="7"/>
  <c r="P17" i="7"/>
  <c r="P9" i="7"/>
  <c r="M20" i="7"/>
  <c r="M4" i="7"/>
  <c r="Q7" i="7"/>
  <c r="S15" i="7"/>
  <c r="S7" i="7"/>
  <c r="T18" i="7"/>
  <c r="T10" i="7"/>
  <c r="U20" i="7"/>
  <c r="U16" i="7"/>
  <c r="U12" i="7"/>
  <c r="U8" i="7"/>
  <c r="U4" i="7"/>
  <c r="U22" i="7" s="1"/>
  <c r="U21" i="7"/>
  <c r="P21" i="7"/>
  <c r="P5" i="7"/>
  <c r="T3" i="7"/>
  <c r="T6" i="7"/>
  <c r="O17" i="7"/>
  <c r="P20" i="7"/>
  <c r="P4" i="7"/>
  <c r="S16" i="7"/>
  <c r="T19" i="7"/>
  <c r="T11" i="7"/>
  <c r="N20" i="7"/>
  <c r="O21" i="7"/>
  <c r="O13" i="7"/>
  <c r="O5" i="7"/>
  <c r="P16" i="7"/>
  <c r="P8" i="7"/>
  <c r="M16" i="7"/>
  <c r="Q19" i="7"/>
  <c r="S20" i="7"/>
  <c r="S12" i="7"/>
  <c r="S4" i="7"/>
  <c r="T15" i="7"/>
  <c r="T7" i="7"/>
  <c r="U19" i="7"/>
  <c r="U15" i="7"/>
  <c r="U11" i="7"/>
  <c r="R3" i="7"/>
  <c r="R13" i="7"/>
  <c r="R5" i="7"/>
  <c r="M19" i="7"/>
  <c r="M11" i="7"/>
  <c r="Q3" i="7"/>
  <c r="Q14" i="7"/>
  <c r="Q6" i="7"/>
  <c r="R16" i="7"/>
  <c r="R8" i="7"/>
  <c r="N18" i="7"/>
  <c r="N13" i="7"/>
  <c r="O20" i="7"/>
  <c r="O16" i="7"/>
  <c r="O12" i="7"/>
  <c r="O8" i="7"/>
  <c r="O4" i="7"/>
  <c r="P19" i="7"/>
  <c r="P15" i="7"/>
  <c r="P11" i="7"/>
  <c r="P7" i="7"/>
  <c r="M3" i="7"/>
  <c r="M18" i="7"/>
  <c r="M14" i="7"/>
  <c r="M10" i="7"/>
  <c r="M6" i="7"/>
  <c r="Q21" i="7"/>
  <c r="Q17" i="7"/>
  <c r="Q13" i="7"/>
  <c r="Q9" i="7"/>
  <c r="Q5" i="7"/>
  <c r="R19" i="7"/>
  <c r="R15" i="7"/>
  <c r="R11" i="7"/>
  <c r="R7" i="7"/>
  <c r="S3" i="7"/>
  <c r="S18" i="7"/>
  <c r="S14" i="7"/>
  <c r="S10" i="7"/>
  <c r="S6" i="7"/>
  <c r="T21" i="7"/>
  <c r="T17" i="7"/>
  <c r="T13" i="7"/>
  <c r="T9" i="7"/>
  <c r="T5" i="7"/>
  <c r="R17" i="7"/>
  <c r="R9" i="7"/>
  <c r="M15" i="7"/>
  <c r="M7" i="7"/>
  <c r="Q18" i="7"/>
  <c r="Q10" i="7"/>
  <c r="R21" i="7"/>
  <c r="R12" i="7"/>
  <c r="R4" i="7"/>
  <c r="N17" i="7"/>
  <c r="N12" i="7"/>
  <c r="O19" i="7"/>
  <c r="O15" i="7"/>
  <c r="O11" i="7"/>
  <c r="P3" i="7"/>
  <c r="P18" i="7"/>
  <c r="P14" i="7"/>
  <c r="P10" i="7"/>
  <c r="M21" i="7"/>
  <c r="M17" i="7"/>
  <c r="M13" i="7"/>
  <c r="M9" i="7"/>
  <c r="Q20" i="7"/>
  <c r="Q16" i="7"/>
  <c r="Q12" i="7"/>
  <c r="Q8" i="7"/>
  <c r="R18" i="7"/>
  <c r="R14" i="7"/>
  <c r="R10" i="7"/>
  <c r="R6" i="7"/>
  <c r="S21" i="7"/>
  <c r="S17" i="7"/>
  <c r="S13" i="7"/>
  <c r="S9" i="7"/>
  <c r="T20" i="7"/>
  <c r="T16" i="7"/>
  <c r="T12" i="7"/>
  <c r="T8" i="7"/>
  <c r="N19" i="7"/>
  <c r="N15" i="7"/>
  <c r="N11" i="7"/>
  <c r="I23" i="7"/>
  <c r="N3" i="7"/>
  <c r="E23" i="7"/>
  <c r="N10" i="7"/>
  <c r="G22" i="7"/>
  <c r="C22" i="7"/>
  <c r="N7" i="7"/>
  <c r="F22" i="7"/>
  <c r="B22" i="7"/>
  <c r="N6" i="7"/>
  <c r="D22" i="7"/>
  <c r="H22" i="7"/>
  <c r="N9" i="7"/>
  <c r="N5" i="7"/>
  <c r="N8" i="7"/>
  <c r="R25" i="8" l="1"/>
  <c r="R26" i="8"/>
  <c r="P24" i="8"/>
  <c r="T26" i="8"/>
  <c r="T24" i="8"/>
  <c r="P26" i="8"/>
  <c r="O22" i="7"/>
  <c r="N22" i="7"/>
  <c r="S22" i="7"/>
  <c r="R22" i="7"/>
  <c r="T22" i="7"/>
  <c r="P22" i="7"/>
  <c r="Q22" i="7"/>
</calcChain>
</file>

<file path=xl/sharedStrings.xml><?xml version="1.0" encoding="utf-8"?>
<sst xmlns="http://schemas.openxmlformats.org/spreadsheetml/2006/main" count="5315" uniqueCount="286">
  <si>
    <t>Tetracyclines</t>
  </si>
  <si>
    <t>tet(A)</t>
  </si>
  <si>
    <t>tet(B)</t>
  </si>
  <si>
    <t>tet(Y)</t>
  </si>
  <si>
    <t>tet(K)</t>
  </si>
  <si>
    <t>tet(M)</t>
  </si>
  <si>
    <t>tet(Q)</t>
  </si>
  <si>
    <t>tet(S)</t>
  </si>
  <si>
    <t>tet(W)</t>
  </si>
  <si>
    <t>Sulfonamides</t>
  </si>
  <si>
    <t>sulI</t>
  </si>
  <si>
    <t>sulII</t>
  </si>
  <si>
    <t>str</t>
  </si>
  <si>
    <t>aadA</t>
  </si>
  <si>
    <t>catI</t>
  </si>
  <si>
    <t>catII</t>
  </si>
  <si>
    <t>Macrolides</t>
  </si>
  <si>
    <t>ermB</t>
  </si>
  <si>
    <t>ermF</t>
  </si>
  <si>
    <t>Quinolones</t>
  </si>
  <si>
    <t>qnrB</t>
  </si>
  <si>
    <t>qnrS</t>
  </si>
  <si>
    <t>mecA</t>
  </si>
  <si>
    <t>Polymyxins</t>
  </si>
  <si>
    <t>mcr.1</t>
  </si>
  <si>
    <t>cisa</t>
  </si>
  <si>
    <t>yr</t>
  </si>
  <si>
    <t>id</t>
  </si>
  <si>
    <t>nes</t>
  </si>
  <si>
    <t>samp</t>
  </si>
  <si>
    <t>ad</t>
  </si>
  <si>
    <t>age</t>
  </si>
  <si>
    <t>fledged</t>
  </si>
  <si>
    <t>hatched</t>
  </si>
  <si>
    <t>eggs</t>
  </si>
  <si>
    <t>nsuccess</t>
  </si>
  <si>
    <t>mean_lui</t>
  </si>
  <si>
    <t>TET..A</t>
  </si>
  <si>
    <t>TET..B</t>
  </si>
  <si>
    <t>TET..Y</t>
  </si>
  <si>
    <t>TET..K</t>
  </si>
  <si>
    <t>TET..M</t>
  </si>
  <si>
    <t>TET..Q</t>
  </si>
  <si>
    <t>TET..S</t>
  </si>
  <si>
    <t>TET..W</t>
  </si>
  <si>
    <t>blaTEM</t>
  </si>
  <si>
    <t>TET</t>
  </si>
  <si>
    <t>SULF</t>
  </si>
  <si>
    <t>AMIN</t>
  </si>
  <si>
    <t>PHEN</t>
  </si>
  <si>
    <t>MACR</t>
  </si>
  <si>
    <t>BLACT</t>
  </si>
  <si>
    <t>QUIN</t>
  </si>
  <si>
    <t>POLIMYX</t>
  </si>
  <si>
    <t>sum</t>
  </si>
  <si>
    <t>MDR</t>
  </si>
  <si>
    <t>s.nsuccess</t>
  </si>
  <si>
    <t>s.lui</t>
  </si>
  <si>
    <t>s.age</t>
  </si>
  <si>
    <t>TET..A_inv10</t>
  </si>
  <si>
    <t>TET..B_inv10</t>
  </si>
  <si>
    <t>TET..Y_inv10</t>
  </si>
  <si>
    <t>TET..K_inv10</t>
  </si>
  <si>
    <t>TET..M_inv10</t>
  </si>
  <si>
    <t>TET..Q_inv10</t>
  </si>
  <si>
    <t>TET..S_inv10</t>
  </si>
  <si>
    <t>TET..W_inv10</t>
  </si>
  <si>
    <t>sulI_inv10</t>
  </si>
  <si>
    <t>sulII_inv10</t>
  </si>
  <si>
    <t>str_inv10</t>
  </si>
  <si>
    <t>aadA_inv10</t>
  </si>
  <si>
    <t>catI_inv10</t>
  </si>
  <si>
    <t>catII_inv10</t>
  </si>
  <si>
    <t>ermB_inv10</t>
  </si>
  <si>
    <t>ermF_inv10</t>
  </si>
  <si>
    <t>qnrB_inv10</t>
  </si>
  <si>
    <t>qnrS_inv10</t>
  </si>
  <si>
    <t>blaTEM_inv10</t>
  </si>
  <si>
    <t>mecA_inv10</t>
  </si>
  <si>
    <t>mcr.1_inv10</t>
  </si>
  <si>
    <t>Burden_inv10</t>
  </si>
  <si>
    <t>Burden_Log10</t>
  </si>
  <si>
    <t>F3AA</t>
  </si>
  <si>
    <t>NA</t>
  </si>
  <si>
    <t>N170</t>
  </si>
  <si>
    <t>C98A</t>
  </si>
  <si>
    <t>6.30957344480193e-06</t>
  </si>
  <si>
    <t>7.94328234724282e-05</t>
  </si>
  <si>
    <t>3.98107170553497e-05</t>
  </si>
  <si>
    <t>6.30957344480193e-05</t>
  </si>
  <si>
    <t>A09X</t>
  </si>
  <si>
    <t>1.99526231496888e-06</t>
  </si>
  <si>
    <t>3.16227766016838e-05</t>
  </si>
  <si>
    <t>CX94_F104</t>
  </si>
  <si>
    <t>SXX1</t>
  </si>
  <si>
    <t>CXW3</t>
  </si>
  <si>
    <t>0|005_02L1</t>
  </si>
  <si>
    <t>1e-05</t>
  </si>
  <si>
    <t>0|05W</t>
  </si>
  <si>
    <t>X219</t>
  </si>
  <si>
    <t>1.25892541179417e-05</t>
  </si>
  <si>
    <t>CXCN</t>
  </si>
  <si>
    <t>5.01187233627273e-05</t>
  </si>
  <si>
    <t>1e-04</t>
  </si>
  <si>
    <t>C982</t>
  </si>
  <si>
    <t>N4N6</t>
  </si>
  <si>
    <t>N0XF</t>
  </si>
  <si>
    <t>F3C0</t>
  </si>
  <si>
    <t>1.58489319246111e-05</t>
  </si>
  <si>
    <t>2.51188643150958e-05</t>
  </si>
  <si>
    <t>C967</t>
  </si>
  <si>
    <t>84FN</t>
  </si>
  <si>
    <t>890S</t>
  </si>
  <si>
    <t>1.25892541179417e-06</t>
  </si>
  <si>
    <t>5.01187233627272e-06</t>
  </si>
  <si>
    <t>2.51188643150958e-06</t>
  </si>
  <si>
    <t>6WMS</t>
  </si>
  <si>
    <t>MX76</t>
  </si>
  <si>
    <t>CX7V</t>
  </si>
  <si>
    <t>X42F</t>
  </si>
  <si>
    <t>7.94328234724282e-06</t>
  </si>
  <si>
    <t>72VC</t>
  </si>
  <si>
    <t>0|00L_MX7S</t>
  </si>
  <si>
    <t>CX9V_F102</t>
  </si>
  <si>
    <t>1e-06</t>
  </si>
  <si>
    <t>C9AM</t>
  </si>
  <si>
    <t>0|053</t>
  </si>
  <si>
    <t>301b</t>
  </si>
  <si>
    <t>NA8A</t>
  </si>
  <si>
    <t>1.58489319246111e-06</t>
  </si>
  <si>
    <t>974b</t>
  </si>
  <si>
    <t>891V</t>
  </si>
  <si>
    <t>3.16227766016838e-06</t>
  </si>
  <si>
    <t>A02</t>
  </si>
  <si>
    <t>C981</t>
  </si>
  <si>
    <t>1.99526231496888e-05</t>
  </si>
  <si>
    <t>5.01187233627272e-07</t>
  </si>
  <si>
    <t>3.98107170553497e-06</t>
  </si>
  <si>
    <t>N14X</t>
  </si>
  <si>
    <t>C9AM_7326</t>
  </si>
  <si>
    <t>0|005</t>
  </si>
  <si>
    <t>F3C0_0|05M</t>
  </si>
  <si>
    <t>842F</t>
  </si>
  <si>
    <t>N170_0|016</t>
  </si>
  <si>
    <t>2CA7</t>
  </si>
  <si>
    <t>275b</t>
  </si>
  <si>
    <t>0|00L</t>
  </si>
  <si>
    <t>Row Labels</t>
  </si>
  <si>
    <t>Grand Total</t>
  </si>
  <si>
    <t>Column Labels</t>
  </si>
  <si>
    <t>2020 Total</t>
  </si>
  <si>
    <t>2021 Total</t>
  </si>
  <si>
    <t>Total Average of nsuccess</t>
  </si>
  <si>
    <t>Average of nsuccess</t>
  </si>
  <si>
    <t>Total Average of mean_lui</t>
  </si>
  <si>
    <t>Average of mean_lui</t>
  </si>
  <si>
    <t>Total Average of age</t>
  </si>
  <si>
    <t>Average of age</t>
  </si>
  <si>
    <t>Total Count of id</t>
  </si>
  <si>
    <t>Count of id</t>
  </si>
  <si>
    <t>Sum of TET</t>
  </si>
  <si>
    <t>Sum of SULF</t>
  </si>
  <si>
    <t>Sum of AMIN</t>
  </si>
  <si>
    <t>Sum of PHEN</t>
  </si>
  <si>
    <t>Sum of MACR</t>
  </si>
  <si>
    <t>Sum of BLACT</t>
  </si>
  <si>
    <t>Sum of QUIN</t>
  </si>
  <si>
    <t>Sum of POLIMYX</t>
  </si>
  <si>
    <t>Sum of MDR</t>
  </si>
  <si>
    <t>Total Sum of TET</t>
  </si>
  <si>
    <t>Total Sum of SULF</t>
  </si>
  <si>
    <t>Total Sum of AMIN</t>
  </si>
  <si>
    <t>Total Sum of PHEN</t>
  </si>
  <si>
    <t>Total Sum of MACR</t>
  </si>
  <si>
    <t>Total Sum of BLACT</t>
  </si>
  <si>
    <t>Total Sum of QUIN</t>
  </si>
  <si>
    <t>Total Sum of POLIMYX</t>
  </si>
  <si>
    <t>Total Sum of MDR</t>
  </si>
  <si>
    <t>2020 Sum of TET</t>
  </si>
  <si>
    <t>2020 Sum of SULF</t>
  </si>
  <si>
    <t>2020 Sum of AMIN</t>
  </si>
  <si>
    <t>2020 Sum of PHEN</t>
  </si>
  <si>
    <t>2020 Sum of MACR</t>
  </si>
  <si>
    <t>2020 Sum of BLACT</t>
  </si>
  <si>
    <t>2020 Sum of QUIN</t>
  </si>
  <si>
    <t>2020 Sum of POLIMYX</t>
  </si>
  <si>
    <t>2020 Sum of MDR</t>
  </si>
  <si>
    <t>2021 Sum of TET</t>
  </si>
  <si>
    <t>2021 Sum of SULF</t>
  </si>
  <si>
    <t>2021 Sum of AMIN</t>
  </si>
  <si>
    <t>2021 Sum of PHEN</t>
  </si>
  <si>
    <t>2021 Sum of MACR</t>
  </si>
  <si>
    <t>2021 Sum of BLACT</t>
  </si>
  <si>
    <t>2021 Sum of QUIN</t>
  </si>
  <si>
    <t>2021 Sum of POLIMYX</t>
  </si>
  <si>
    <t>2021 Sum of MDR</t>
  </si>
  <si>
    <t>2020 Average of catI_inv10</t>
  </si>
  <si>
    <t>2021 Average of catI_inv10</t>
  </si>
  <si>
    <t>Total Average of catI_inv10</t>
  </si>
  <si>
    <t>Average of catI_inv10</t>
  </si>
  <si>
    <t>2020 Sum of ermB_inv10</t>
  </si>
  <si>
    <t>2021 Sum of ermB_inv10</t>
  </si>
  <si>
    <t>Total Sum of ermB_inv10</t>
  </si>
  <si>
    <t>Sum of ermB_inv10</t>
  </si>
  <si>
    <t>2020 Sum of TET..B_inv10</t>
  </si>
  <si>
    <t>2021 Sum of TET..B_inv10</t>
  </si>
  <si>
    <t>Total Sum of TET..B_inv10</t>
  </si>
  <si>
    <t>Sum of TET..B_inv10</t>
  </si>
  <si>
    <t>Total Sum of TET..A_inv10</t>
  </si>
  <si>
    <t>Sum of TET..A_inv10</t>
  </si>
  <si>
    <t>Total Sum of TET..Y_inv10</t>
  </si>
  <si>
    <t>Sum of TET..Y_inv10</t>
  </si>
  <si>
    <t>Total Sum of TET..K_inv10</t>
  </si>
  <si>
    <t>Sum of TET..K_inv10</t>
  </si>
  <si>
    <t>Total Sum of TET..M_inv10</t>
  </si>
  <si>
    <t>Sum of TET..M_inv10</t>
  </si>
  <si>
    <t>Total Sum of TET..Q_inv10</t>
  </si>
  <si>
    <t>Sum of TET..Q_inv10</t>
  </si>
  <si>
    <t>Total Sum of TET..S_inv10</t>
  </si>
  <si>
    <t>Sum of TET..S_inv10</t>
  </si>
  <si>
    <t>Total Sum of TET..W_inv10</t>
  </si>
  <si>
    <t>Sum of TET..W_inv10</t>
  </si>
  <si>
    <t>Total Sum of sulII_inv10</t>
  </si>
  <si>
    <t>Sum of sulII_inv10</t>
  </si>
  <si>
    <t>Total Sum of sulI_inv10</t>
  </si>
  <si>
    <t>Sum of sulI_inv10</t>
  </si>
  <si>
    <t>Total Sum of str_inv10</t>
  </si>
  <si>
    <t>Sum of str_inv10</t>
  </si>
  <si>
    <t>Total Sum of aadA_inv10</t>
  </si>
  <si>
    <t>Sum of aadA_inv10</t>
  </si>
  <si>
    <t>Sum of mcr.1_inv10</t>
  </si>
  <si>
    <t>Sum of qnrS_inv10</t>
  </si>
  <si>
    <t>Sum of qnrB_inv10</t>
  </si>
  <si>
    <t>Sum of ermF_inv10</t>
  </si>
  <si>
    <t>Total Sum of ermF_inv10</t>
  </si>
  <si>
    <t>Total Sum of qnrB_inv10</t>
  </si>
  <si>
    <t>Total Sum of qnrS_inv10</t>
  </si>
  <si>
    <t>Total Sum of mcr.1_inv10</t>
  </si>
  <si>
    <t>2020 Sum of TET..A_inv10</t>
  </si>
  <si>
    <t>2020 Sum of TET..Y_inv10</t>
  </si>
  <si>
    <t>2020 Sum of TET..K_inv10</t>
  </si>
  <si>
    <t>2020 Sum of TET..M_inv10</t>
  </si>
  <si>
    <t>2020 Sum of TET..Q_inv10</t>
  </si>
  <si>
    <t>2020 Sum of TET..S_inv10</t>
  </si>
  <si>
    <t>2020 Sum of TET..W_inv10</t>
  </si>
  <si>
    <t>2020 Sum of sulII_inv10</t>
  </si>
  <si>
    <t>2020 Sum of sulI_inv10</t>
  </si>
  <si>
    <t>2020 Sum of str_inv10</t>
  </si>
  <si>
    <t>2020 Sum of aadA_inv10</t>
  </si>
  <si>
    <t>2020 Sum of ermF_inv10</t>
  </si>
  <si>
    <t>2020 Sum of qnrB_inv10</t>
  </si>
  <si>
    <t>2020 Sum of qnrS_inv10</t>
  </si>
  <si>
    <t>2020 Sum of mcr.1_inv10</t>
  </si>
  <si>
    <t>2021 Sum of TET..A_inv10</t>
  </si>
  <si>
    <t>2021 Sum of TET..Y_inv10</t>
  </si>
  <si>
    <t>2021 Sum of TET..K_inv10</t>
  </si>
  <si>
    <t>2021 Sum of TET..M_inv10</t>
  </si>
  <si>
    <t>2021 Sum of TET..Q_inv10</t>
  </si>
  <si>
    <t>2021 Sum of TET..S_inv10</t>
  </si>
  <si>
    <t>2021 Sum of TET..W_inv10</t>
  </si>
  <si>
    <t>2021 Sum of sulII_inv10</t>
  </si>
  <si>
    <t>2021 Sum of sulI_inv10</t>
  </si>
  <si>
    <t>2021 Sum of str_inv10</t>
  </si>
  <si>
    <t>2021 Sum of aadA_inv10</t>
  </si>
  <si>
    <t>2021 Sum of ermF_inv10</t>
  </si>
  <si>
    <t>2021 Sum of qnrB_inv10</t>
  </si>
  <si>
    <t>2021 Sum of qnrS_inv10</t>
  </si>
  <si>
    <t>2021 Sum of mcr.1_inv10</t>
  </si>
  <si>
    <t>2020 Sum of catI_inv10</t>
  </si>
  <si>
    <t>2021 Sum of catI_inv10</t>
  </si>
  <si>
    <t>Total Sum of catI_inv10</t>
  </si>
  <si>
    <t>Sum of catI_inv10</t>
  </si>
  <si>
    <t>SUM TOTAL</t>
  </si>
  <si>
    <t>% Total</t>
  </si>
  <si>
    <t>% Grand Total</t>
  </si>
  <si>
    <t>Total</t>
  </si>
  <si>
    <t>Aminoglycosides</t>
  </si>
  <si>
    <t>Phenicols</t>
  </si>
  <si>
    <t>2020 Sum of blaTEM_inv10</t>
  </si>
  <si>
    <t>2021 Sum of blaTEM_inv10</t>
  </si>
  <si>
    <t>Total Sum of blaTEM_inv10</t>
  </si>
  <si>
    <t>Sum of blaTEM_inv10</t>
  </si>
  <si>
    <t>Sum blaTEM</t>
  </si>
  <si>
    <t>blTEM</t>
  </si>
  <si>
    <t>Beta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</si>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</sst>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quel" refreshedDate="45636.442592013889" createdVersion="8" refreshedVersion="8" minRefreshableVersion="3" recordCount="126" xr:uid="{4A2F404B-39C6-461A-B17F-E9211569518F}">
  <cacheSource type="worksheet">
    <worksheetSource ref="A1:BQ127" sheet="Raw_Clean"/>
  </cacheSource>
  <cacheFields count="69">
    <cacheField name="cisa" numFmtId="0">
      <sharedItems containsSemiMixedTypes="0" containsString="0" containsNumber="1" containsInteger="1" minValue="21001" maxValue="21355"/>
    </cacheField>
    <cacheField name="yr" numFmtId="0">
      <sharedItems containsSemiMixedTypes="0" containsString="0" containsNumber="1" containsInteger="1" minValue="2020" maxValue="2021" count="2">
        <n v="2020"/>
        <n v="2021"/>
      </sharedItems>
    </cacheField>
    <cacheField name="id" numFmtId="0">
      <sharedItems containsMixedTypes="1" containsNumber="1" containsInteger="1" minValue="1" maxValue="2018" count="123">
        <n v="55"/>
        <n v="57"/>
        <n v="51"/>
        <n v="29"/>
        <n v="27"/>
        <n v="9"/>
        <n v="35"/>
        <n v="39"/>
        <n v="33"/>
        <n v="1"/>
        <n v="3"/>
        <n v="23"/>
        <n v="15"/>
        <n v="43"/>
        <n v="17"/>
        <n v="37"/>
        <n v="25"/>
        <n v="21"/>
        <n v="19"/>
        <n v="41"/>
        <n v="49"/>
        <n v="47"/>
        <n v="31"/>
        <n v="7"/>
        <n v="13"/>
        <n v="45"/>
        <n v="53"/>
        <n v="61"/>
        <n v="5"/>
        <n v="11"/>
        <n v="59"/>
        <n v="69"/>
        <n v="105"/>
        <n v="87"/>
        <n v="85"/>
        <n v="115"/>
        <n v="97"/>
        <n v="101"/>
        <n v="91"/>
        <n v="117"/>
        <n v="77"/>
        <n v="89"/>
        <n v="79"/>
        <n v="103"/>
        <n v="71"/>
        <n v="83"/>
        <n v="81"/>
        <n v="111"/>
        <n v="75"/>
        <n v="73"/>
        <n v="63"/>
        <n v="113"/>
        <n v="213"/>
        <n v="267"/>
        <n v="215"/>
        <n v="269"/>
        <n v="203"/>
        <n v="207"/>
        <n v="265"/>
        <n v="275"/>
        <n v="285"/>
        <n v="219"/>
        <n v="235"/>
        <n v="257"/>
        <n v="217"/>
        <n v="259"/>
        <n v="237"/>
        <n v="261"/>
        <n v="211"/>
        <n v="263"/>
        <n v="279"/>
        <n v="227"/>
        <n v="231"/>
        <s v="275b"/>
        <n v="243"/>
        <n v="223"/>
        <n v="245"/>
        <n v="221"/>
        <n v="249"/>
        <n v="301"/>
        <n v="303"/>
        <n v="305"/>
        <n v="343"/>
        <n v="317"/>
        <n v="313"/>
        <n v="319"/>
        <n v="233"/>
        <n v="205"/>
        <n v="299"/>
        <n v="297"/>
        <n v="295"/>
        <n v="291"/>
        <n v="357"/>
        <n v="355"/>
        <n v="351"/>
        <n v="337"/>
        <n v="333"/>
        <n v="329"/>
        <n v="345"/>
        <n v="309"/>
        <n v="289"/>
        <n v="910"/>
        <n v="236"/>
        <n v="300"/>
        <n v="802"/>
        <n v="952"/>
        <n v="1901"/>
        <n v="34"/>
        <n v="1907"/>
        <n v="143"/>
        <n v="157"/>
        <n v="109"/>
        <n v="234"/>
        <n v="240"/>
        <n v="2018"/>
        <n v="901"/>
        <s v="A02"/>
        <n v="1908"/>
        <n v="911"/>
        <n v="12"/>
        <n v="10"/>
        <n v="65"/>
        <n v="304"/>
      </sharedItems>
    </cacheField>
    <cacheField name="nes" numFmtId="0">
      <sharedItems containsMixedTypes="1" containsNumber="1" containsInteger="1" minValue="8" maxValue="2018" count="31">
        <n v="8"/>
        <n v="10"/>
        <n v="12"/>
        <n v="34"/>
        <n v="35"/>
        <n v="40"/>
        <n v="109"/>
        <n v="143"/>
        <n v="147"/>
        <n v="157"/>
        <n v="160"/>
        <n v="230"/>
        <n v="234"/>
        <n v="236"/>
        <n v="240"/>
        <n v="300"/>
        <n v="304"/>
        <n v="305"/>
        <n v="802"/>
        <n v="901"/>
        <n v="910"/>
        <n v="911"/>
        <n v="952"/>
        <n v="973"/>
        <n v="1901"/>
        <n v="1907"/>
        <n v="1908"/>
        <n v="2018"/>
        <s v="301b"/>
        <s v="974b"/>
        <s v="A02"/>
      </sharedItems>
    </cacheField>
    <cacheField name="samp" numFmtId="0">
      <sharedItems containsSemiMixedTypes="0" containsString="0" containsNumber="1" containsInteger="1" minValue="1" maxValue="3" count="3">
        <n v="2"/>
        <n v="1"/>
        <n v="3"/>
      </sharedItems>
    </cacheField>
    <cacheField name="ad" numFmtId="0">
      <sharedItems/>
    </cacheField>
    <cacheField name="age" numFmtId="0">
      <sharedItems containsMixedTypes="1" containsNumber="1" minValue="2.5" maxValue="22" count="17">
        <n v="4"/>
        <n v="9"/>
        <s v="NA"/>
        <n v="10"/>
        <n v="5"/>
        <n v="2.5"/>
        <n v="3"/>
        <n v="6"/>
        <n v="7"/>
        <n v="19"/>
        <n v="16"/>
        <n v="12"/>
        <n v="11"/>
        <n v="13.5"/>
        <n v="8"/>
        <n v="20"/>
        <n v="22"/>
      </sharedItems>
    </cacheField>
    <cacheField name="fledged" numFmtId="0">
      <sharedItems containsSemiMixedTypes="0" containsString="0" containsNumber="1" containsInteger="1" minValue="0" maxValue="4"/>
    </cacheField>
    <cacheField name="hatched" numFmtId="0">
      <sharedItems containsSemiMixedTypes="0" containsString="0" containsNumber="1" containsInteger="1" minValue="0" maxValue="5"/>
    </cacheField>
    <cacheField name="eggs" numFmtId="0">
      <sharedItems containsSemiMixedTypes="0" containsString="0" containsNumber="1" containsInteger="1" minValue="0" maxValue="6"/>
    </cacheField>
    <cacheField name="nsuccess" numFmtId="0">
      <sharedItems containsSemiMixedTypes="0" containsString="0" containsNumber="1" containsInteger="1" minValue="0" maxValue="100"/>
    </cacheField>
    <cacheField name="mean_lui" numFmtId="0">
      <sharedItems containsMixedTypes="1" containsNumber="1" minValue="0" maxValue="0.44444400000000001" count="14">
        <s v="NA"/>
        <n v="5.5556000000000001E-2"/>
        <n v="0"/>
        <n v="0.27777800000000002"/>
        <n v="0.27777777999999997"/>
        <n v="8.3333334999999994E-2"/>
        <n v="0.111111111"/>
        <n v="0.19444444499999999"/>
        <n v="0.222222"/>
        <n v="0.16666700000000001"/>
        <n v="0.16666666499999999"/>
        <n v="0.111111115"/>
        <n v="5.5555559999999997E-2"/>
        <n v="0.44444400000000001"/>
      </sharedItems>
    </cacheField>
    <cacheField name="TET..A" numFmtId="0">
      <sharedItems containsMixedTypes="1" containsNumber="1" minValue="-5.9" maxValue="-1.4"/>
    </cacheField>
    <cacheField name="TET..B" numFmtId="0">
      <sharedItems containsMixedTypes="1" containsNumber="1" minValue="-4.7" maxValue="0.7"/>
    </cacheField>
    <cacheField name="TET..Y" numFmtId="0">
      <sharedItems containsMixedTypes="1" containsNumber="1" minValue="-5.3" maxValue="-0.8"/>
    </cacheField>
    <cacheField name="TET..K" numFmtId="0">
      <sharedItems containsMixedTypes="1" containsNumber="1" minValue="-5.7" maxValue="1"/>
    </cacheField>
    <cacheField name="TET..M" numFmtId="0">
      <sharedItems containsMixedTypes="1" containsNumber="1" minValue="-4.5" maxValue="0.2"/>
    </cacheField>
    <cacheField name="TET..Q" numFmtId="0">
      <sharedItems containsMixedTypes="1" containsNumber="1" minValue="-6.3" maxValue="-0.2"/>
    </cacheField>
    <cacheField name="TET..S" numFmtId="0">
      <sharedItems containsMixedTypes="1" containsNumber="1" minValue="-4.9000000000000004" maxValue="0.3"/>
    </cacheField>
    <cacheField name="TET..W" numFmtId="0">
      <sharedItems containsMixedTypes="1" containsNumber="1" minValue="-4.7" maxValue="-3"/>
    </cacheField>
    <cacheField name="sulI" numFmtId="0">
      <sharedItems containsMixedTypes="1" containsNumber="1" minValue="-3.9" maxValue="0.7"/>
    </cacheField>
    <cacheField name="sulII" numFmtId="0">
      <sharedItems containsMixedTypes="1" containsNumber="1" minValue="-5.3" maxValue="0.2"/>
    </cacheField>
    <cacheField name="str" numFmtId="0">
      <sharedItems containsMixedTypes="1" containsNumber="1" minValue="-5.4" maxValue="-0.3"/>
    </cacheField>
    <cacheField name="aadA" numFmtId="0">
      <sharedItems containsMixedTypes="1" containsNumber="1" minValue="-5.3" maxValue="0.5"/>
    </cacheField>
    <cacheField name="catI" numFmtId="0">
      <sharedItems containsMixedTypes="1" containsNumber="1" minValue="-5.6" maxValue="0"/>
    </cacheField>
    <cacheField name="catII" numFmtId="0">
      <sharedItems/>
    </cacheField>
    <cacheField name="ermB" numFmtId="0">
      <sharedItems containsMixedTypes="1" containsNumber="1" minValue="-4.3" maxValue="0.1"/>
    </cacheField>
    <cacheField name="ermF" numFmtId="0">
      <sharedItems containsMixedTypes="1" containsNumber="1" minValue="-5.3" maxValue="-0.8"/>
    </cacheField>
    <cacheField name="qnrB" numFmtId="0">
      <sharedItems containsMixedTypes="1" containsNumber="1" minValue="-5.6" maxValue="1.9"/>
    </cacheField>
    <cacheField name="blaTEM" numFmtId="0">
      <sharedItems containsMixedTypes="1" containsNumber="1" minValue="-4.2" maxValue="2.2999999999999998"/>
    </cacheField>
    <cacheField name="qnrS" numFmtId="0">
      <sharedItems containsMixedTypes="1" containsNumber="1" minValue="-4.7" maxValue="1.9"/>
    </cacheField>
    <cacheField name="mecA" numFmtId="0">
      <sharedItems/>
    </cacheField>
    <cacheField name="mcr.1" numFmtId="0">
      <sharedItems containsMixedTypes="1" containsNumber="1" minValue="-5.2" maxValue="0.6"/>
    </cacheField>
    <cacheField name="TET" numFmtId="0">
      <sharedItems containsSemiMixedTypes="0" containsString="0" containsNumber="1" containsInteger="1" minValue="0" maxValue="1"/>
    </cacheField>
    <cacheField name="SULF" numFmtId="0">
      <sharedItems containsSemiMixedTypes="0" containsString="0" containsNumber="1" containsInteger="1" minValue="0" maxValue="1"/>
    </cacheField>
    <cacheField name="AMIN" numFmtId="0">
      <sharedItems containsSemiMixedTypes="0" containsString="0" containsNumber="1" containsInteger="1" minValue="0" maxValue="1"/>
    </cacheField>
    <cacheField name="PHEN" numFmtId="0">
      <sharedItems containsSemiMixedTypes="0" containsString="0" containsNumber="1" containsInteger="1" minValue="0" maxValue="1"/>
    </cacheField>
    <cacheField name="MACR" numFmtId="0">
      <sharedItems containsSemiMixedTypes="0" containsString="0" containsNumber="1" containsInteger="1" minValue="0" maxValue="1"/>
    </cacheField>
    <cacheField name="BLACT" numFmtId="0">
      <sharedItems containsSemiMixedTypes="0" containsString="0" containsNumber="1" containsInteger="1" minValue="0" maxValue="1"/>
    </cacheField>
    <cacheField name="QUIN" numFmtId="0">
      <sharedItems containsSemiMixedTypes="0" containsString="0" containsNumber="1" containsInteger="1" minValue="0" maxValue="1" count="2">
        <n v="0"/>
        <n v="1"/>
      </sharedItems>
    </cacheField>
    <cacheField name="POLIMYX" numFmtId="0">
      <sharedItems containsSemiMixedTypes="0" containsString="0" containsNumber="1" containsInteger="1" minValue="0" maxValue="1" count="2">
        <n v="0"/>
        <n v="1"/>
      </sharedItems>
    </cacheField>
    <cacheField name="sum" numFmtId="0">
      <sharedItems containsSemiMixedTypes="0" containsString="0" containsNumber="1" containsInteger="1" minValue="1" maxValue="7"/>
    </cacheField>
    <cacheField name="MDR" numFmtId="0">
      <sharedItems containsSemiMixedTypes="0" containsString="0" containsNumber="1" containsInteger="1" minValue="0" maxValue="1" count="2">
        <n v="0"/>
        <n v="1"/>
      </sharedItems>
    </cacheField>
    <cacheField name="s.nsuccess" numFmtId="0">
      <sharedItems containsSemiMixedTypes="0" containsString="0" containsNumber="1" minValue="-1.94170776517039" maxValue="1.5285784534320099"/>
    </cacheField>
    <cacheField name="s.lui" numFmtId="0">
      <sharedItems containsMixedTypes="1" containsNumber="1" minValue="-1.18819828996463" maxValue="2.6276579680914001"/>
    </cacheField>
    <cacheField name="s.age" numFmtId="0">
      <sharedItems containsMixedTypes="1" containsNumber="1" minValue="-1.26436196799695" maxValue="3.0905333477165402"/>
    </cacheField>
    <cacheField name="TET..A_inv10" numFmtId="0">
      <sharedItems containsMixedTypes="1" containsNumber="1" minValue="1.2589254117941699E-4" maxValue="3.9810717055349699E-2" count="12">
        <s v="NA"/>
        <s v="1.25892541179417e-06"/>
        <n v="1.2589254117941699E-4"/>
        <n v="1.2589254117941701E-3"/>
        <n v="3.9810717055349699E-2"/>
        <s v="7.94328234724282e-06"/>
        <n v="1.9952623149688801E-4"/>
        <s v="1.58489319246111e-05"/>
        <n v="2.5118864315095801E-4"/>
        <s v="3.98107170553497e-05"/>
        <n v="5.0118723362727203E-3"/>
        <n v="6.3095734448019298E-4"/>
      </sharedItems>
    </cacheField>
    <cacheField name="TET..B_inv10" numFmtId="0">
      <sharedItems containsMixedTypes="1" containsNumber="1" minValue="1.2589254117941699E-4" maxValue="5.0118723362727202" count="15">
        <s v="NA"/>
        <n v="2.5118864315095801E-4"/>
        <n v="1.9952623149688801E-4"/>
        <s v="6.30957344480193e-05"/>
        <s v="7.94328234724282e-05"/>
        <n v="0.25118864315095801"/>
        <n v="1.99526231496888"/>
        <s v="1.99526231496888e-05"/>
        <n v="5.0118723362727296E-4"/>
        <n v="3.9810717055349699E-3"/>
        <n v="1.2589254117941699E-4"/>
        <n v="7.9432823472428103E-3"/>
        <n v="6.3095734448019298E-4"/>
        <n v="0.1"/>
        <n v="5.0118723362727202"/>
      </sharedItems>
    </cacheField>
    <cacheField name="TET..Y_inv10" numFmtId="0">
      <sharedItems containsMixedTypes="1" containsNumber="1" minValue="1.5848931924611101E-4" maxValue="0.15848931924611101" count="22">
        <s v="NA"/>
        <n v="1.9952623149688801E-4"/>
        <s v="5.01187233627272e-06"/>
        <s v="2.51188643150958e-05"/>
        <n v="7.9432823472428099E-4"/>
        <s v="7.94328234724282e-06"/>
        <n v="5.0118723362727203E-3"/>
        <n v="6.3095734448019298E-4"/>
        <n v="3.9810717055349699E-2"/>
        <n v="3.1622776601683798E-2"/>
        <n v="0.15848931924611101"/>
        <n v="1.2589254117941699E-2"/>
        <s v="1e-04"/>
        <n v="6.3095734448019303E-2"/>
        <n v="5.0118723362727199E-2"/>
        <n v="3.1622776601683799E-4"/>
        <n v="1.58489319246111E-3"/>
        <n v="3.1622776601683798E-3"/>
        <n v="1.2589254117941701E-3"/>
        <n v="1.5848931924611101E-4"/>
        <n v="3.9810717055349699E-3"/>
        <s v="3.98107170553497e-05"/>
      </sharedItems>
    </cacheField>
    <cacheField name="TET..K_inv10" numFmtId="0">
      <sharedItems containsMixedTypes="1" containsNumber="1" minValue="1.5848931924611101E-4" maxValue="10" count="26">
        <s v="NA"/>
        <s v="1.99526231496888e-06"/>
        <s v="1e-05"/>
        <s v="1.25892541179417e-05"/>
        <s v="5.01187233627273e-05"/>
        <n v="1.5848931924611101E-4"/>
        <s v="1.58489319246111e-05"/>
        <n v="10"/>
        <s v="2.51188643150958e-06"/>
        <s v="5.01187233627272e-06"/>
        <n v="1.2589254117941699E-2"/>
        <n v="2.5118864315095799E-3"/>
        <n v="1.58489319246111E-3"/>
        <n v="3.9810717055349699E-2"/>
        <n v="0.15848931924611101"/>
        <n v="0.01"/>
        <n v="7.9432823472428202"/>
        <n v="0.1"/>
        <n v="7.9432823472428099E-4"/>
        <n v="1E-3"/>
        <s v="6.30957344480193e-05"/>
        <n v="1.2589254117941701E-3"/>
        <n v="0.39810717055349698"/>
        <n v="1.9952623149688801E-4"/>
        <n v="5.0118723362727203E-3"/>
        <s v="2.51188643150958e-05"/>
      </sharedItems>
    </cacheField>
    <cacheField name="TET..M_inv10" numFmtId="0">
      <sharedItems containsMixedTypes="1" containsNumber="1" minValue="1.5848931924611101E-4" maxValue="1.58489319246111" count="16">
        <s v="NA"/>
        <s v="3.16227766016838e-05"/>
        <s v="6.30957344480193e-05"/>
        <n v="0.199526231496888"/>
        <n v="1.58489319246111"/>
        <n v="0.63095734448019303"/>
        <n v="0.15848931924611101"/>
        <n v="1.5848931924611101E-4"/>
        <n v="1.2589254117941699"/>
        <n v="1.58489319246111E-2"/>
        <n v="0.50118723362727202"/>
        <n v="2.5118864315095801E-4"/>
        <n v="5.0118723362727203E-3"/>
        <n v="3.9810717055349699E-2"/>
        <n v="1.9952623149688799E-2"/>
        <n v="3.1622776601683799E-4"/>
      </sharedItems>
    </cacheField>
    <cacheField name="TET..Q_inv10" numFmtId="0">
      <sharedItems containsMixedTypes="1" containsNumber="1" minValue="1.2589254117941699E-4" maxValue="0.63095734448019303" count="41">
        <n v="7.9432823472428103E-3"/>
        <n v="2.5118864315095801E-2"/>
        <s v="6.30957344480193e-06"/>
        <s v="3.16227766016838e-05"/>
        <n v="1E-3"/>
        <n v="1.9952623149688798E-3"/>
        <n v="3.9810717055349703E-4"/>
        <s v="3.98107170553497e-05"/>
        <s v="NA"/>
        <n v="1.2589254117941699E-4"/>
        <n v="0.316227766016838"/>
        <s v="7.94328234724282e-05"/>
        <n v="1.2589254117941701E-3"/>
        <s v="1.58489319246111e-05"/>
        <s v="1.25892541179417e-05"/>
        <s v="7.94328234724282e-06"/>
        <s v="1e-06"/>
        <n v="3.9810717055349699E-2"/>
        <s v="5.01187233627272e-06"/>
        <s v="1.58489319246111e-06"/>
        <s v="3.16227766016838e-06"/>
        <s v="5.01187233627272e-07"/>
        <s v="1e-04"/>
        <s v="1.99526231496888e-06"/>
        <s v="2.51188643150958e-06"/>
        <n v="2.5118864315095801E-4"/>
        <n v="0.63095734448019303"/>
        <n v="0.25118864315095801"/>
        <n v="1.9952623149688799E-2"/>
        <n v="0.12589254117941701"/>
        <n v="5.0118723362727203E-3"/>
        <n v="1.58489319246111E-2"/>
        <n v="7.9432823472428099E-4"/>
        <s v="1e-05"/>
        <n v="3.9810717055349699E-3"/>
        <n v="1.2589254117941699E-2"/>
        <n v="2.5118864315095799E-3"/>
        <n v="5.0118723362727199E-2"/>
        <n v="3.1622776601683798E-3"/>
        <n v="5.0118723362727296E-4"/>
        <n v="0.1"/>
      </sharedItems>
    </cacheField>
    <cacheField name="TET..S_inv10" numFmtId="0">
      <sharedItems containsMixedTypes="1" containsNumber="1" minValue="1.9952623149688801E-4" maxValue="1.99526231496888" count="36">
        <s v="NA"/>
        <n v="0.01"/>
        <s v="3.98107170553497e-05"/>
        <n v="3.1622776601683799E-4"/>
        <n v="2.5118864315095801E-4"/>
        <s v="1e-04"/>
        <n v="1.9952623149688801E-4"/>
        <s v="5.01187233627273e-05"/>
        <n v="1E-3"/>
        <s v="1.25892541179417e-05"/>
        <n v="0.50118723362727202"/>
        <s v="1.99526231496888e-05"/>
        <n v="0.316227766016838"/>
        <n v="5.0118723362727203E-3"/>
        <n v="0.1"/>
        <n v="3.1622776601683798E-2"/>
        <n v="5.0118723362727199E-2"/>
        <n v="0.15848931924611101"/>
        <n v="6.3095734448019303E-2"/>
        <n v="0.25118864315095801"/>
        <n v="1.58489319246111E-2"/>
        <n v="0.199526231496888"/>
        <n v="6.3095734448019303E-3"/>
        <n v="1.2589254117941699"/>
        <n v="2.5118864315095799E-3"/>
        <n v="1"/>
        <n v="0.39810717055349698"/>
        <n v="3.9810717055349699E-2"/>
        <n v="0.79432823472428105"/>
        <s v="6.30957344480193e-05"/>
        <n v="7.9432823472428103E-3"/>
        <n v="1.99526231496888"/>
        <n v="7.9432823472428096E-2"/>
        <n v="1.9952623149688799E-2"/>
        <n v="1.2589254117941699E-2"/>
        <n v="0.12589254117941701"/>
      </sharedItems>
    </cacheField>
    <cacheField name="TET..W_inv10" numFmtId="0">
      <sharedItems containsMixedTypes="1" containsNumber="1" minValue="1.2589254117941699E-4" maxValue="1E-3" count="4">
        <s v="NA"/>
        <n v="1E-3"/>
        <s v="1.99526231496888e-05"/>
        <n v="1.2589254117941699E-4"/>
      </sharedItems>
    </cacheField>
    <cacheField name="sulI_inv10" numFmtId="0">
      <sharedItems containsMixedTypes="1" containsNumber="1" minValue="1.2589254117941699E-4" maxValue="5.0118723362727202" count="9">
        <s v="NA"/>
        <n v="5.0118723362727203E-3"/>
        <n v="1.2589254117941699E-4"/>
        <n v="7.9432823472428099E-4"/>
        <n v="1.9952623149688801E-4"/>
        <n v="1.2589254117941699E-2"/>
        <n v="2.5118864315095799E-3"/>
        <n v="5.0118723362727202"/>
        <n v="3.1622776601683798E-3"/>
      </sharedItems>
    </cacheField>
    <cacheField name="sulII_inv10" numFmtId="0">
      <sharedItems containsMixedTypes="1" containsNumber="1" minValue="1.5848931924611101E-4" maxValue="1.58489319246111" count="26">
        <s v="NA"/>
        <s v="7.94328234724282e-05"/>
        <n v="1E-3"/>
        <s v="6.30957344480193e-05"/>
        <n v="6.3095734448019298E-4"/>
        <n v="3.1622776601683798E-3"/>
        <s v="5.01187233627272e-06"/>
        <n v="1.2589254117941701E-3"/>
        <n v="3.9810717055349703E-4"/>
        <s v="1.58489319246111e-05"/>
        <s v="6.30957344480193e-06"/>
        <s v="1.99526231496888e-05"/>
        <n v="0.79432823472428105"/>
        <n v="3.1622776601683798E-2"/>
        <n v="0.01"/>
        <n v="6.3095734448019303E-3"/>
        <n v="3.9810717055349699E-3"/>
        <n v="0.63095734448019303"/>
        <n v="1.9952623149688799E-2"/>
        <n v="1"/>
        <n v="0.12589254117941701"/>
        <n v="5.0118723362727203E-3"/>
        <n v="1.58489319246111"/>
        <n v="1.5848931924611101E-4"/>
        <n v="3.9810717055349699E-2"/>
        <n v="0.1"/>
      </sharedItems>
    </cacheField>
    <cacheField name="str_inv10" numFmtId="0">
      <sharedItems containsMixedTypes="1" containsNumber="1" minValue="1.2589254117941699E-4" maxValue="0.50118723362727202" count="24">
        <s v="NA"/>
        <n v="1.5848931924611101E-4"/>
        <s v="2.51188643150958e-05"/>
        <n v="1.9952623149688798E-3"/>
        <n v="6.3095734448019303E-3"/>
        <s v="3.98107170553497e-06"/>
        <s v="3.16227766016838e-05"/>
        <s v="1.25892541179417e-05"/>
        <n v="1.9952623149688801E-4"/>
        <n v="1E-3"/>
        <n v="5.0118723362727296E-4"/>
        <n v="1.2589254117941701E-3"/>
        <n v="1.9952623149688799E-2"/>
        <n v="1.2589254117941699E-4"/>
        <n v="6.3095734448019298E-4"/>
        <n v="3.1622776601683799E-4"/>
        <n v="3.9810717055349699E-2"/>
        <n v="5.0118723362727203E-3"/>
        <n v="7.9432823472428103E-3"/>
        <n v="2.5118864315095799E-3"/>
        <n v="1.58489319246111E-3"/>
        <n v="0.15848931924611101"/>
        <n v="0.50118723362727202"/>
        <n v="0.25118864315095801"/>
      </sharedItems>
    </cacheField>
    <cacheField name="aadA_inv10" numFmtId="0">
      <sharedItems containsMixedTypes="1" containsNumber="1" minValue="1.9952623149688801E-4" maxValue="3.16227766016838" count="28">
        <s v="NA"/>
        <s v="3.98107170553497e-05"/>
        <n v="7.9432823472428099E-4"/>
        <s v="6.30957344480193e-05"/>
        <s v="3.16227766016838e-05"/>
        <s v="5.01187233627272e-06"/>
        <s v="1.58489319246111e-05"/>
        <n v="0.199526231496888"/>
        <s v="2.51188643150958e-05"/>
        <s v="6.30957344480193e-06"/>
        <n v="2.5118864315095801E-2"/>
        <n v="1.9952623149688801E-4"/>
        <n v="0.25118864315095801"/>
        <n v="0.15848931924611101"/>
        <n v="6.3095734448019303E-2"/>
        <n v="3.1622776601683798E-3"/>
        <n v="1.58489319246111"/>
        <n v="3.1622776601683798E-2"/>
        <n v="3.9810717055349699E-2"/>
        <n v="1E-3"/>
        <n v="6.3095734448019303E-3"/>
        <n v="3.16227766016838"/>
        <n v="7.9432823472428096E-2"/>
        <n v="2.5118864315095799E-3"/>
        <n v="1.58489319246111E-3"/>
        <n v="0.1"/>
        <n v="1.58489319246111E-2"/>
        <n v="0.63095734448019303"/>
      </sharedItems>
    </cacheField>
    <cacheField name="catI_inv10" numFmtId="0">
      <sharedItems containsMixedTypes="1" containsNumber="1" minValue="1.9952623149688801E-4" maxValue="1" count="6">
        <s v="NA"/>
        <s v="6.30957344480193e-05"/>
        <n v="3.1622776601683798E-3"/>
        <s v="2.51188643150958e-06"/>
        <n v="1.9952623149688801E-4"/>
        <n v="1"/>
      </sharedItems>
    </cacheField>
    <cacheField name="catII_inv10" numFmtId="0">
      <sharedItems count="1">
        <s v="NA"/>
      </sharedItems>
    </cacheField>
    <cacheField name="ermB_inv10" numFmtId="0">
      <sharedItems containsMixedTypes="1" containsNumber="1" minValue="1.2589254117941699E-4" maxValue="1.2589254117941699" count="17">
        <s v="NA"/>
        <n v="1.5848931924611101E-4"/>
        <n v="3.9810717055349699E-3"/>
        <n v="1.58489319246111E-3"/>
        <n v="0.63095734448019303"/>
        <n v="5.0118723362727199E-2"/>
        <s v="5.01187233627273e-05"/>
        <s v="6.30957344480193e-05"/>
        <n v="1.2589254117941699E-4"/>
        <n v="5.0118723362727203E-3"/>
        <n v="1.58489319246111E-2"/>
        <n v="3.9810717055349699E-2"/>
        <n v="1E-3"/>
        <n v="3.1622776601683798E-2"/>
        <n v="0.01"/>
        <n v="0.12589254117941701"/>
        <n v="1.2589254117941699"/>
      </sharedItems>
    </cacheField>
    <cacheField name="ermF_inv10" numFmtId="0">
      <sharedItems containsMixedTypes="1" containsNumber="1" minValue="3.1622776601683799E-4" maxValue="0.15848931924611101" count="10">
        <s v="NA"/>
        <n v="0.15848931924611101"/>
        <n v="1.9952623149688798E-3"/>
        <n v="1.2589254117941699E-2"/>
        <n v="1.58489319246111E-3"/>
        <s v="5.01187233627272e-06"/>
        <n v="3.1622776601683799E-4"/>
        <s v="1.58489319246111e-05"/>
        <n v="3.9810717055349699E-2"/>
        <n v="1.2589254117941701E-3"/>
      </sharedItems>
    </cacheField>
    <cacheField name="qnrB_inv10" numFmtId="0">
      <sharedItems containsMixedTypes="1" containsNumber="1" minValue="3.9810717055349703E-4" maxValue="79.432823472428097" count="21">
        <s v="NA"/>
        <n v="3.1622776601683798E-3"/>
        <s v="1e-05"/>
        <n v="3.9810717055349703E-4"/>
        <s v="7.94328234724282e-06"/>
        <s v="3.16227766016838e-05"/>
        <s v="3.16227766016838e-06"/>
        <s v="2.51188643150958e-06"/>
        <s v="6.30957344480193e-06"/>
        <n v="0.79432823472428105"/>
        <n v="63.0957344480193"/>
        <n v="7.9432823472428096E-2"/>
        <n v="79.432823472428097"/>
        <n v="3.9810717055349699E-2"/>
        <n v="1"/>
        <n v="25.118864315095799"/>
        <n v="0.63095734448019303"/>
        <n v="0.1"/>
        <n v="0.12589254117941701"/>
        <n v="3.16227766016838"/>
        <n v="5.0118723362727203E-3"/>
      </sharedItems>
    </cacheField>
    <cacheField name="qnrS_inv10" numFmtId="0">
      <sharedItems containsMixedTypes="1" containsNumber="1" minValue="2.5118864315095801E-4" maxValue="79.432823472428097" count="14">
        <s v="NA"/>
        <n v="2.5118864315095801E-4"/>
        <s v="3.98107170553497e-05"/>
        <s v="5.01187233627273e-05"/>
        <s v="1.99526231496888e-05"/>
        <n v="1"/>
        <n v="1.99526231496888"/>
        <n v="5.0118723362727296E-4"/>
        <n v="79.432823472428097"/>
        <n v="5.0118723362727202"/>
        <n v="3.1622776601683799E-4"/>
        <n v="5.0118723362727203E-3"/>
        <n v="0.199526231496888"/>
        <n v="0.01"/>
      </sharedItems>
    </cacheField>
    <cacheField name="blaTEM_inv10" numFmtId="0">
      <sharedItems containsMixedTypes="1" containsNumber="1" minValue="1.5848931924611101E-4" maxValue="199.52623149688799" count="53">
        <n v="0.316227766016838"/>
        <n v="2.5118864315095801E-2"/>
        <s v="6.30957344480193e-05"/>
        <n v="3.9810717055349703E-4"/>
        <n v="6.3095734448019303E-3"/>
        <n v="1.9952623149688799E-2"/>
        <n v="1.2589254117941701E-3"/>
        <n v="1E-3"/>
        <n v="0.50118723362727202"/>
        <n v="1.5848931924611101E-4"/>
        <n v="1.58489319246111E-3"/>
        <n v="50.118723362727202"/>
        <n v="3.1622776601683799E-4"/>
        <s v="1e-04"/>
        <s v="NA"/>
        <n v="1.58489319246111E-2"/>
        <n v="1.9952623149688798E-3"/>
        <n v="7.9432823472428103E-3"/>
        <n v="0.39810717055349698"/>
        <n v="3.16227766016838"/>
        <n v="2.5118864315095799E-3"/>
        <n v="0.01"/>
        <n v="7.9432823472428099E-4"/>
        <n v="0.199526231496888"/>
        <n v="3.9810717055349699E-2"/>
        <n v="7.9432823472428096E-2"/>
        <n v="3.9810717055349699E-3"/>
        <n v="6.3095734448019303E-2"/>
        <n v="3.1622776601683798E-2"/>
        <n v="15.848931924611099"/>
        <n v="25.118864315095799"/>
        <n v="0.79432823472428105"/>
        <n v="7.9432823472428202"/>
        <n v="19.952623149688801"/>
        <n v="5.0118723362727199E-2"/>
        <n v="1.2589254117941699"/>
        <n v="39.810717055349699"/>
        <n v="63.0957344480193"/>
        <n v="1.99526231496888"/>
        <n v="0.25118864315095801"/>
        <n v="5.0118723362727202"/>
        <n v="100"/>
        <n v="2.5118864315095801"/>
        <n v="125.89254117941699"/>
        <n v="1"/>
        <n v="10"/>
        <n v="79.432823472428097"/>
        <n v="3.1622776601683798E-3"/>
        <n v="199.52623149688799"/>
        <n v="0.12589254117941701"/>
        <n v="6.3095734448019298"/>
        <n v="0.63095734448019303"/>
        <n v="3.98107170553497"/>
      </sharedItems>
    </cacheField>
    <cacheField name="mecA_inv10" numFmtId="0">
      <sharedItems count="1">
        <s v="NA"/>
      </sharedItems>
    </cacheField>
    <cacheField name="mcr.1_inv10" numFmtId="0">
      <sharedItems containsMixedTypes="1" containsNumber="1" minValue="0.12589254117941701" maxValue="3.98107170553497" count="8">
        <s v="NA"/>
        <s v="3.16227766016838e-05"/>
        <s v="6.30957344480193e-06"/>
        <n v="3.98107170553497"/>
        <n v="1.99526231496888"/>
        <n v="0.12589254117941701"/>
        <n v="2.5118864315095801"/>
        <n v="0.39810717055349698"/>
      </sharedItems>
    </cacheField>
    <cacheField name="Burden_inv10" numFmtId="0">
      <sharedItems containsSemiMixedTypes="0" containsString="0" containsNumber="1" minValue="1.8864884842059899E-4" maxValue="199.56604221394301"/>
    </cacheField>
    <cacheField name="Burden_Log10" numFmtId="0">
      <sharedItems containsSemiMixedTypes="0" containsString="0" containsNumber="1" minValue="-56.2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1001"/>
    <x v="0"/>
    <x v="0"/>
    <x v="0"/>
    <x v="0"/>
    <s v="F3AA"/>
    <x v="0"/>
    <n v="0"/>
    <n v="4"/>
    <n v="4"/>
    <n v="0"/>
    <x v="0"/>
    <s v="NA"/>
    <s v="NA"/>
    <s v="NA"/>
    <s v="NA"/>
    <s v="NA"/>
    <n v="-2.1"/>
    <s v="NA"/>
    <s v="NA"/>
    <s v="NA"/>
    <s v="NA"/>
    <s v="NA"/>
    <s v="NA"/>
    <s v="NA"/>
    <s v="NA"/>
    <s v="NA"/>
    <s v="NA"/>
    <s v="NA"/>
    <n v="-0.5"/>
    <s v="NA"/>
    <s v="NA"/>
    <s v="NA"/>
    <n v="1"/>
    <n v="0"/>
    <n v="0"/>
    <n v="0"/>
    <n v="0"/>
    <n v="1"/>
    <x v="0"/>
    <x v="0"/>
    <n v="2"/>
    <x v="0"/>
    <n v="-1.94170776517039"/>
    <s v="NA"/>
    <n v="-0.929370020634369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.324171048364081"/>
    <n v="-2.6"/>
  </r>
  <r>
    <n v="21002"/>
    <x v="0"/>
    <x v="1"/>
    <x v="1"/>
    <x v="0"/>
    <s v="N170"/>
    <x v="1"/>
    <n v="3"/>
    <n v="3"/>
    <n v="3"/>
    <n v="100"/>
    <x v="0"/>
    <s v="NA"/>
    <s v="NA"/>
    <s v="NA"/>
    <s v="NA"/>
    <s v="NA"/>
    <n v="-1.6"/>
    <n v="-2"/>
    <s v="NA"/>
    <s v="NA"/>
    <s v="NA"/>
    <s v="NA"/>
    <s v="NA"/>
    <s v="NA"/>
    <s v="NA"/>
    <s v="NA"/>
    <s v="NA"/>
    <s v="NA"/>
    <n v="-1.6"/>
    <s v="NA"/>
    <s v="NA"/>
    <s v="NA"/>
    <n v="1"/>
    <n v="0"/>
    <n v="0"/>
    <n v="0"/>
    <n v="0"/>
    <n v="1"/>
    <x v="0"/>
    <x v="0"/>
    <n v="2"/>
    <x v="0"/>
    <n v="1.5285784534320099"/>
    <s v="NA"/>
    <n v="0.18726980390755099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0"/>
    <x v="0"/>
    <n v="6.0237728630191598E-2"/>
    <n v="-5.2"/>
  </r>
  <r>
    <n v="21003"/>
    <x v="0"/>
    <x v="2"/>
    <x v="2"/>
    <x v="1"/>
    <s v="C98A"/>
    <x v="2"/>
    <n v="2"/>
    <n v="2"/>
    <n v="5"/>
    <n v="40"/>
    <x v="0"/>
    <s v="NA"/>
    <s v="NA"/>
    <s v="NA"/>
    <s v="NA"/>
    <s v="NA"/>
    <n v="-5.2"/>
    <s v="NA"/>
    <s v="NA"/>
    <s v="NA"/>
    <n v="-4.0999999999999996"/>
    <s v="NA"/>
    <n v="-4.4000000000000004"/>
    <s v="NA"/>
    <s v="NA"/>
    <s v="NA"/>
    <s v="NA"/>
    <s v="NA"/>
    <n v="-4.2"/>
    <s v="NA"/>
    <s v="NA"/>
    <s v="NA"/>
    <n v="1"/>
    <n v="1"/>
    <n v="1"/>
    <n v="0"/>
    <n v="0"/>
    <n v="1"/>
    <x v="0"/>
    <x v="0"/>
    <n v="4"/>
    <x v="1"/>
    <n v="-0.55359327772942901"/>
    <s v="NA"/>
    <s v="NA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2"/>
    <x v="0"/>
    <x v="0"/>
    <n v="1.8864884842059899E-4"/>
    <n v="-17.899999999999999"/>
  </r>
  <r>
    <n v="21004"/>
    <x v="0"/>
    <x v="3"/>
    <x v="3"/>
    <x v="0"/>
    <s v="A09X"/>
    <x v="3"/>
    <n v="0"/>
    <n v="5"/>
    <n v="5"/>
    <n v="0"/>
    <x v="0"/>
    <s v="NA"/>
    <s v="NA"/>
    <s v="NA"/>
    <n v="-5.7"/>
    <s v="NA"/>
    <n v="-4.5"/>
    <n v="-4.4000000000000004"/>
    <s v="NA"/>
    <s v="NA"/>
    <s v="NA"/>
    <s v="NA"/>
    <s v="NA"/>
    <s v="NA"/>
    <s v="NA"/>
    <n v="-3.8"/>
    <s v="NA"/>
    <s v="NA"/>
    <n v="-3.4"/>
    <s v="NA"/>
    <s v="NA"/>
    <s v="NA"/>
    <n v="1"/>
    <n v="0"/>
    <n v="0"/>
    <n v="0"/>
    <n v="1"/>
    <n v="1"/>
    <x v="0"/>
    <x v="0"/>
    <n v="3"/>
    <x v="1"/>
    <n v="-1.94170776517039"/>
    <s v="NA"/>
    <n v="0.41059776881593502"/>
    <x v="0"/>
    <x v="0"/>
    <x v="0"/>
    <x v="1"/>
    <x v="0"/>
    <x v="3"/>
    <x v="2"/>
    <x v="0"/>
    <x v="0"/>
    <x v="0"/>
    <x v="0"/>
    <x v="0"/>
    <x v="0"/>
    <x v="0"/>
    <x v="1"/>
    <x v="0"/>
    <x v="0"/>
    <x v="0"/>
    <x v="3"/>
    <x v="0"/>
    <x v="0"/>
    <n v="6.3002524577161095E-4"/>
    <n v="-21.8"/>
  </r>
  <r>
    <n v="21005"/>
    <x v="0"/>
    <x v="4"/>
    <x v="4"/>
    <x v="0"/>
    <s v="CX94_F104"/>
    <x v="4"/>
    <n v="2"/>
    <n v="2"/>
    <n v="3"/>
    <n v="67"/>
    <x v="0"/>
    <s v="NA"/>
    <s v="NA"/>
    <s v="NA"/>
    <s v="NA"/>
    <s v="NA"/>
    <n v="-3"/>
    <n v="-3.5"/>
    <n v="-3"/>
    <s v="NA"/>
    <n v="-3"/>
    <n v="-3.8"/>
    <n v="-3.1"/>
    <s v="NA"/>
    <s v="NA"/>
    <n v="-2.4"/>
    <s v="NA"/>
    <n v="-2.5"/>
    <n v="-2.2000000000000002"/>
    <s v="NA"/>
    <s v="NA"/>
    <s v="NA"/>
    <n v="1"/>
    <n v="1"/>
    <n v="1"/>
    <n v="0"/>
    <n v="1"/>
    <n v="1"/>
    <x v="1"/>
    <x v="0"/>
    <n v="6"/>
    <x v="1"/>
    <n v="0.38338400129321698"/>
    <s v="NA"/>
    <n v="-0.706042055725985"/>
    <x v="0"/>
    <x v="0"/>
    <x v="0"/>
    <x v="0"/>
    <x v="0"/>
    <x v="4"/>
    <x v="3"/>
    <x v="1"/>
    <x v="0"/>
    <x v="2"/>
    <x v="1"/>
    <x v="2"/>
    <x v="0"/>
    <x v="0"/>
    <x v="2"/>
    <x v="0"/>
    <x v="1"/>
    <x v="0"/>
    <x v="4"/>
    <x v="0"/>
    <x v="0"/>
    <n v="1.77219681304925E-2"/>
    <n v="-26.5"/>
  </r>
  <r>
    <n v="21006"/>
    <x v="0"/>
    <x v="5"/>
    <x v="5"/>
    <x v="0"/>
    <s v="SXX1"/>
    <x v="2"/>
    <n v="2"/>
    <n v="4"/>
    <n v="5"/>
    <n v="40"/>
    <x v="0"/>
    <s v="NA"/>
    <s v="NA"/>
    <s v="NA"/>
    <s v="NA"/>
    <s v="NA"/>
    <n v="-2.7"/>
    <s v="NA"/>
    <s v="NA"/>
    <s v="NA"/>
    <s v="NA"/>
    <s v="NA"/>
    <s v="NA"/>
    <s v="NA"/>
    <s v="NA"/>
    <s v="NA"/>
    <s v="NA"/>
    <s v="NA"/>
    <n v="-1.7"/>
    <s v="NA"/>
    <s v="NA"/>
    <s v="NA"/>
    <n v="1"/>
    <n v="0"/>
    <n v="0"/>
    <n v="0"/>
    <n v="0"/>
    <n v="1"/>
    <x v="0"/>
    <x v="0"/>
    <n v="2"/>
    <x v="0"/>
    <n v="-0.55359327772942901"/>
    <s v="NA"/>
    <s v="NA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5"/>
    <x v="0"/>
    <x v="0"/>
    <n v="2.1947885464657702E-2"/>
    <n v="-4.4000000000000004"/>
  </r>
  <r>
    <n v="21007"/>
    <x v="0"/>
    <x v="6"/>
    <x v="6"/>
    <x v="0"/>
    <s v="CXW3"/>
    <x v="4"/>
    <n v="3"/>
    <n v="4"/>
    <n v="5"/>
    <n v="60"/>
    <x v="0"/>
    <s v="NA"/>
    <s v="NA"/>
    <s v="NA"/>
    <s v="NA"/>
    <s v="NA"/>
    <n v="-3.4"/>
    <n v="-3.6"/>
    <s v="NA"/>
    <s v="NA"/>
    <s v="NA"/>
    <s v="NA"/>
    <s v="NA"/>
    <s v="NA"/>
    <s v="NA"/>
    <s v="NA"/>
    <s v="NA"/>
    <s v="NA"/>
    <n v="-2.9"/>
    <s v="NA"/>
    <s v="NA"/>
    <s v="NA"/>
    <n v="1"/>
    <n v="0"/>
    <n v="0"/>
    <n v="0"/>
    <n v="0"/>
    <n v="1"/>
    <x v="0"/>
    <x v="0"/>
    <n v="2"/>
    <x v="0"/>
    <n v="0.14046396599104899"/>
    <s v="NA"/>
    <n v="-0.706042055725985"/>
    <x v="0"/>
    <x v="0"/>
    <x v="0"/>
    <x v="0"/>
    <x v="0"/>
    <x v="6"/>
    <x v="4"/>
    <x v="0"/>
    <x v="0"/>
    <x v="0"/>
    <x v="0"/>
    <x v="0"/>
    <x v="0"/>
    <x v="0"/>
    <x v="0"/>
    <x v="0"/>
    <x v="0"/>
    <x v="0"/>
    <x v="6"/>
    <x v="0"/>
    <x v="0"/>
    <n v="1.9082212254986201E-3"/>
    <n v="-9.9"/>
  </r>
  <r>
    <n v="21008"/>
    <x v="0"/>
    <x v="7"/>
    <x v="7"/>
    <x v="1"/>
    <s v="0|005_02L1"/>
    <x v="5"/>
    <n v="2"/>
    <n v="4"/>
    <n v="4"/>
    <n v="50"/>
    <x v="0"/>
    <s v="NA"/>
    <s v="NA"/>
    <s v="NA"/>
    <n v="-5"/>
    <s v="NA"/>
    <n v="-4.4000000000000004"/>
    <s v="NA"/>
    <s v="NA"/>
    <s v="NA"/>
    <s v="NA"/>
    <s v="NA"/>
    <s v="NA"/>
    <s v="NA"/>
    <s v="NA"/>
    <s v="NA"/>
    <s v="NA"/>
    <s v="NA"/>
    <n v="-3"/>
    <s v="NA"/>
    <s v="NA"/>
    <s v="NA"/>
    <n v="1"/>
    <n v="0"/>
    <n v="0"/>
    <n v="0"/>
    <n v="0"/>
    <n v="1"/>
    <x v="0"/>
    <x v="0"/>
    <n v="2"/>
    <x v="0"/>
    <n v="-0.20656465586919001"/>
    <s v="NA"/>
    <n v="-1.26436196799695"/>
    <x v="0"/>
    <x v="0"/>
    <x v="0"/>
    <x v="2"/>
    <x v="0"/>
    <x v="7"/>
    <x v="0"/>
    <x v="0"/>
    <x v="0"/>
    <x v="0"/>
    <x v="0"/>
    <x v="0"/>
    <x v="0"/>
    <x v="0"/>
    <x v="0"/>
    <x v="0"/>
    <x v="0"/>
    <x v="0"/>
    <x v="7"/>
    <x v="0"/>
    <x v="0"/>
    <n v="1.04981071705535E-3"/>
    <n v="-12.4"/>
  </r>
  <r>
    <n v="21009"/>
    <x v="0"/>
    <x v="8"/>
    <x v="8"/>
    <x v="0"/>
    <s v="0|05W"/>
    <x v="6"/>
    <n v="0"/>
    <n v="4"/>
    <n v="4"/>
    <n v="0"/>
    <x v="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-0.3"/>
    <s v="NA"/>
    <s v="NA"/>
    <s v="NA"/>
    <n v="0"/>
    <n v="0"/>
    <n v="0"/>
    <n v="0"/>
    <n v="0"/>
    <n v="1"/>
    <x v="0"/>
    <x v="0"/>
    <n v="1"/>
    <x v="0"/>
    <n v="-1.94170776517039"/>
    <s v="NA"/>
    <n v="-1.1526979855427499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8"/>
    <x v="0"/>
    <x v="0"/>
    <n v="0.50118723362727202"/>
    <n v="-0.3"/>
  </r>
  <r>
    <n v="21010"/>
    <x v="0"/>
    <x v="9"/>
    <x v="9"/>
    <x v="0"/>
    <s v="X219"/>
    <x v="2"/>
    <n v="2"/>
    <n v="2"/>
    <n v="2"/>
    <n v="100"/>
    <x v="0"/>
    <s v="NA"/>
    <s v="NA"/>
    <n v="-3.7"/>
    <n v="-4.9000000000000004"/>
    <s v="NA"/>
    <s v="NA"/>
    <s v="NA"/>
    <s v="NA"/>
    <s v="NA"/>
    <s v="NA"/>
    <s v="NA"/>
    <s v="NA"/>
    <s v="NA"/>
    <s v="NA"/>
    <s v="NA"/>
    <s v="NA"/>
    <s v="NA"/>
    <n v="-3.8"/>
    <s v="NA"/>
    <s v="NA"/>
    <s v="NA"/>
    <n v="1"/>
    <n v="0"/>
    <n v="0"/>
    <n v="0"/>
    <n v="0"/>
    <n v="1"/>
    <x v="0"/>
    <x v="0"/>
    <n v="2"/>
    <x v="0"/>
    <n v="1.5285784534320099"/>
    <s v="NA"/>
    <s v="NA"/>
    <x v="0"/>
    <x v="0"/>
    <x v="1"/>
    <x v="3"/>
    <x v="0"/>
    <x v="8"/>
    <x v="0"/>
    <x v="0"/>
    <x v="0"/>
    <x v="0"/>
    <x v="0"/>
    <x v="0"/>
    <x v="0"/>
    <x v="0"/>
    <x v="0"/>
    <x v="0"/>
    <x v="0"/>
    <x v="0"/>
    <x v="9"/>
    <x v="0"/>
    <x v="0"/>
    <n v="3.7060480486094099E-4"/>
    <n v="-12.4"/>
  </r>
  <r>
    <n v="21011"/>
    <x v="0"/>
    <x v="10"/>
    <x v="10"/>
    <x v="1"/>
    <s v="CXCN"/>
    <x v="4"/>
    <n v="0"/>
    <n v="0"/>
    <n v="0"/>
    <n v="0"/>
    <x v="0"/>
    <s v="NA"/>
    <n v="-3.6"/>
    <s v="NA"/>
    <n v="-4.3"/>
    <s v="NA"/>
    <n v="-3.9"/>
    <n v="-3.6"/>
    <s v="NA"/>
    <s v="NA"/>
    <s v="NA"/>
    <s v="NA"/>
    <n v="-4.2"/>
    <s v="NA"/>
    <s v="NA"/>
    <s v="NA"/>
    <s v="NA"/>
    <n v="-5"/>
    <n v="-2.8"/>
    <s v="NA"/>
    <s v="NA"/>
    <s v="NA"/>
    <n v="1"/>
    <n v="0"/>
    <n v="1"/>
    <n v="0"/>
    <n v="0"/>
    <n v="1"/>
    <x v="1"/>
    <x v="0"/>
    <n v="4"/>
    <x v="1"/>
    <n v="-1.94170776517039"/>
    <s v="NA"/>
    <n v="-0.706042055725985"/>
    <x v="0"/>
    <x v="1"/>
    <x v="0"/>
    <x v="4"/>
    <x v="0"/>
    <x v="9"/>
    <x v="4"/>
    <x v="0"/>
    <x v="0"/>
    <x v="0"/>
    <x v="0"/>
    <x v="3"/>
    <x v="0"/>
    <x v="0"/>
    <x v="0"/>
    <x v="0"/>
    <x v="2"/>
    <x v="0"/>
    <x v="10"/>
    <x v="0"/>
    <x v="0"/>
    <n v="2.33637747775319E-3"/>
    <n v="-27.4"/>
  </r>
  <r>
    <n v="21012"/>
    <x v="0"/>
    <x v="11"/>
    <x v="11"/>
    <x v="0"/>
    <s v="NA"/>
    <x v="2"/>
    <n v="0"/>
    <n v="2"/>
    <n v="3"/>
    <n v="0"/>
    <x v="0"/>
    <s v="NA"/>
    <s v="NA"/>
    <s v="NA"/>
    <n v="-5"/>
    <s v="NA"/>
    <s v="NA"/>
    <n v="-4"/>
    <s v="NA"/>
    <s v="NA"/>
    <s v="NA"/>
    <s v="NA"/>
    <s v="NA"/>
    <s v="NA"/>
    <s v="NA"/>
    <s v="NA"/>
    <s v="NA"/>
    <s v="NA"/>
    <n v="-3.4"/>
    <s v="NA"/>
    <s v="NA"/>
    <n v="-4.5"/>
    <n v="1"/>
    <n v="0"/>
    <n v="0"/>
    <n v="0"/>
    <n v="0"/>
    <n v="1"/>
    <x v="0"/>
    <x v="1"/>
    <n v="3"/>
    <x v="1"/>
    <n v="-1.94170776517039"/>
    <s v="NA"/>
    <s v="NA"/>
    <x v="0"/>
    <x v="0"/>
    <x v="0"/>
    <x v="2"/>
    <x v="0"/>
    <x v="8"/>
    <x v="5"/>
    <x v="0"/>
    <x v="0"/>
    <x v="0"/>
    <x v="0"/>
    <x v="0"/>
    <x v="0"/>
    <x v="0"/>
    <x v="0"/>
    <x v="0"/>
    <x v="0"/>
    <x v="0"/>
    <x v="3"/>
    <x v="0"/>
    <x v="1"/>
    <n v="5.3972994715518097E-4"/>
    <n v="-16.899999999999999"/>
  </r>
  <r>
    <n v="21013"/>
    <x v="0"/>
    <x v="12"/>
    <x v="12"/>
    <x v="0"/>
    <s v="C982"/>
    <x v="7"/>
    <n v="0"/>
    <n v="4"/>
    <n v="4"/>
    <n v="0"/>
    <x v="0"/>
    <s v="NA"/>
    <s v="NA"/>
    <s v="NA"/>
    <s v="NA"/>
    <s v="NA"/>
    <n v="-0.5"/>
    <s v="NA"/>
    <s v="NA"/>
    <s v="NA"/>
    <s v="NA"/>
    <s v="NA"/>
    <s v="NA"/>
    <s v="NA"/>
    <s v="NA"/>
    <s v="NA"/>
    <s v="NA"/>
    <s v="NA"/>
    <n v="1.7"/>
    <s v="NA"/>
    <s v="NA"/>
    <s v="NA"/>
    <n v="1"/>
    <n v="0"/>
    <n v="0"/>
    <n v="0"/>
    <n v="0"/>
    <n v="1"/>
    <x v="0"/>
    <x v="0"/>
    <n v="2"/>
    <x v="0"/>
    <n v="-1.94170776517039"/>
    <s v="NA"/>
    <n v="-0.48271409081760103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11"/>
    <x v="0"/>
    <x v="0"/>
    <n v="50.434951128744103"/>
    <n v="1.2"/>
  </r>
  <r>
    <n v="21014"/>
    <x v="0"/>
    <x v="13"/>
    <x v="13"/>
    <x v="0"/>
    <s v="N4N6"/>
    <x v="8"/>
    <n v="1"/>
    <n v="2"/>
    <n v="2"/>
    <n v="50"/>
    <x v="0"/>
    <s v="NA"/>
    <s v="NA"/>
    <s v="NA"/>
    <s v="NA"/>
    <s v="NA"/>
    <s v="NA"/>
    <s v="NA"/>
    <s v="NA"/>
    <s v="NA"/>
    <s v="NA"/>
    <s v="NA"/>
    <s v="NA"/>
    <s v="NA"/>
    <s v="NA"/>
    <s v="NA"/>
    <n v="-0.8"/>
    <s v="NA"/>
    <n v="1.7"/>
    <s v="NA"/>
    <s v="NA"/>
    <s v="NA"/>
    <n v="0"/>
    <n v="0"/>
    <n v="0"/>
    <n v="0"/>
    <n v="1"/>
    <n v="1"/>
    <x v="0"/>
    <x v="0"/>
    <n v="2"/>
    <x v="0"/>
    <n v="-0.20656465586919001"/>
    <s v="NA"/>
    <n v="-0.259386125909217"/>
    <x v="0"/>
    <x v="0"/>
    <x v="0"/>
    <x v="0"/>
    <x v="0"/>
    <x v="8"/>
    <x v="0"/>
    <x v="0"/>
    <x v="0"/>
    <x v="0"/>
    <x v="0"/>
    <x v="0"/>
    <x v="0"/>
    <x v="0"/>
    <x v="0"/>
    <x v="1"/>
    <x v="0"/>
    <x v="0"/>
    <x v="11"/>
    <x v="0"/>
    <x v="0"/>
    <n v="50.277212681973303"/>
    <n v="0.9"/>
  </r>
  <r>
    <n v="21015"/>
    <x v="0"/>
    <x v="14"/>
    <x v="14"/>
    <x v="0"/>
    <s v="N0XF"/>
    <x v="3"/>
    <n v="0"/>
    <n v="4"/>
    <n v="4"/>
    <n v="0"/>
    <x v="0"/>
    <s v="NA"/>
    <n v="-3.7"/>
    <s v="NA"/>
    <n v="-3.8"/>
    <s v="NA"/>
    <s v="NA"/>
    <n v="-3.7"/>
    <s v="NA"/>
    <s v="NA"/>
    <s v="NA"/>
    <s v="NA"/>
    <s v="NA"/>
    <s v="NA"/>
    <s v="NA"/>
    <n v="-2.8"/>
    <s v="NA"/>
    <s v="NA"/>
    <n v="-3.5"/>
    <s v="NA"/>
    <s v="NA"/>
    <s v="NA"/>
    <n v="1"/>
    <n v="0"/>
    <n v="0"/>
    <n v="0"/>
    <n v="1"/>
    <n v="1"/>
    <x v="0"/>
    <x v="0"/>
    <n v="3"/>
    <x v="1"/>
    <n v="-1.94170776517039"/>
    <s v="NA"/>
    <n v="0.41059776881593502"/>
    <x v="0"/>
    <x v="2"/>
    <x v="0"/>
    <x v="5"/>
    <x v="0"/>
    <x v="8"/>
    <x v="6"/>
    <x v="0"/>
    <x v="0"/>
    <x v="0"/>
    <x v="0"/>
    <x v="0"/>
    <x v="0"/>
    <x v="0"/>
    <x v="3"/>
    <x v="0"/>
    <x v="0"/>
    <x v="0"/>
    <x v="12"/>
    <x v="0"/>
    <x v="0"/>
    <n v="2.4586627407178398E-3"/>
    <n v="-17.5"/>
  </r>
  <r>
    <n v="21016"/>
    <x v="0"/>
    <x v="15"/>
    <x v="15"/>
    <x v="1"/>
    <s v="F3C0"/>
    <x v="0"/>
    <n v="1"/>
    <n v="4"/>
    <n v="3"/>
    <n v="33"/>
    <x v="0"/>
    <s v="NA"/>
    <s v="NA"/>
    <s v="NA"/>
    <n v="-4.8"/>
    <n v="-4.5"/>
    <s v="NA"/>
    <s v="NA"/>
    <s v="NA"/>
    <s v="NA"/>
    <n v="-4.2"/>
    <n v="-4.5999999999999996"/>
    <n v="-4.5"/>
    <n v="-4.2"/>
    <s v="NA"/>
    <n v="-0.2"/>
    <n v="-2.7"/>
    <s v="NA"/>
    <n v="-4"/>
    <s v="NA"/>
    <s v="NA"/>
    <s v="NA"/>
    <n v="1"/>
    <n v="1"/>
    <n v="1"/>
    <n v="1"/>
    <n v="1"/>
    <n v="1"/>
    <x v="0"/>
    <x v="0"/>
    <n v="6"/>
    <x v="1"/>
    <n v="-0.796513313031597"/>
    <s v="NA"/>
    <n v="-0.92937002063436902"/>
    <x v="0"/>
    <x v="0"/>
    <x v="0"/>
    <x v="6"/>
    <x v="1"/>
    <x v="8"/>
    <x v="0"/>
    <x v="0"/>
    <x v="0"/>
    <x v="3"/>
    <x v="2"/>
    <x v="4"/>
    <x v="1"/>
    <x v="0"/>
    <x v="4"/>
    <x v="2"/>
    <x v="0"/>
    <x v="0"/>
    <x v="13"/>
    <x v="0"/>
    <x v="0"/>
    <n v="0.63328301161350098"/>
    <n v="-33.700000000000003"/>
  </r>
  <r>
    <n v="21017"/>
    <x v="0"/>
    <x v="16"/>
    <x v="16"/>
    <x v="0"/>
    <s v="C967"/>
    <x v="7"/>
    <n v="4"/>
    <n v="4"/>
    <n v="4"/>
    <n v="100"/>
    <x v="0"/>
    <s v="NA"/>
    <s v="NA"/>
    <s v="NA"/>
    <s v="NA"/>
    <s v="NA"/>
    <n v="-4.0999999999999996"/>
    <s v="NA"/>
    <s v="NA"/>
    <s v="NA"/>
    <n v="-3.2"/>
    <n v="-2.7"/>
    <n v="-3.1"/>
    <n v="-2.5"/>
    <s v="NA"/>
    <n v="-1.3"/>
    <n v="-1.9"/>
    <s v="NA"/>
    <n v="-3.4"/>
    <s v="NA"/>
    <s v="NA"/>
    <s v="NA"/>
    <n v="1"/>
    <n v="1"/>
    <n v="1"/>
    <n v="1"/>
    <n v="1"/>
    <n v="1"/>
    <x v="0"/>
    <x v="0"/>
    <n v="6"/>
    <x v="1"/>
    <n v="1.5285784534320099"/>
    <s v="NA"/>
    <n v="-0.48271409081760103"/>
    <x v="0"/>
    <x v="0"/>
    <x v="0"/>
    <x v="0"/>
    <x v="0"/>
    <x v="11"/>
    <x v="0"/>
    <x v="0"/>
    <x v="0"/>
    <x v="4"/>
    <x v="3"/>
    <x v="2"/>
    <x v="2"/>
    <x v="0"/>
    <x v="5"/>
    <x v="3"/>
    <x v="0"/>
    <x v="0"/>
    <x v="3"/>
    <x v="0"/>
    <x v="0"/>
    <n v="6.9768343029036506E-2"/>
    <n v="-22.2"/>
  </r>
  <r>
    <n v="21018"/>
    <x v="0"/>
    <x v="17"/>
    <x v="17"/>
    <x v="0"/>
    <s v="84FN"/>
    <x v="3"/>
    <n v="0"/>
    <n v="1"/>
    <n v="2"/>
    <n v="0"/>
    <x v="0"/>
    <s v="NA"/>
    <s v="NA"/>
    <s v="NA"/>
    <s v="NA"/>
    <s v="NA"/>
    <n v="-2.9"/>
    <s v="NA"/>
    <s v="NA"/>
    <s v="NA"/>
    <n v="-2.5"/>
    <n v="-2.2000000000000002"/>
    <s v="NA"/>
    <s v="NA"/>
    <s v="NA"/>
    <s v="NA"/>
    <n v="-2.8"/>
    <s v="NA"/>
    <s v="NA"/>
    <s v="NA"/>
    <s v="NA"/>
    <s v="NA"/>
    <n v="1"/>
    <n v="1"/>
    <n v="1"/>
    <n v="0"/>
    <n v="1"/>
    <n v="0"/>
    <x v="0"/>
    <x v="0"/>
    <n v="4"/>
    <x v="1"/>
    <n v="-1.94170776517039"/>
    <s v="NA"/>
    <n v="0.41059776881593502"/>
    <x v="0"/>
    <x v="0"/>
    <x v="0"/>
    <x v="0"/>
    <x v="0"/>
    <x v="12"/>
    <x v="0"/>
    <x v="0"/>
    <x v="0"/>
    <x v="5"/>
    <x v="4"/>
    <x v="0"/>
    <x v="0"/>
    <x v="0"/>
    <x v="0"/>
    <x v="4"/>
    <x v="0"/>
    <x v="0"/>
    <x v="14"/>
    <x v="0"/>
    <x v="0"/>
    <n v="1.23156697092256E-2"/>
    <n v="-10.4"/>
  </r>
  <r>
    <n v="21019"/>
    <x v="0"/>
    <x v="18"/>
    <x v="18"/>
    <x v="1"/>
    <s v="890S"/>
    <x v="2"/>
    <n v="0"/>
    <n v="0"/>
    <n v="1"/>
    <n v="0"/>
    <x v="0"/>
    <n v="-5.9"/>
    <s v="NA"/>
    <n v="-5.3"/>
    <s v="NA"/>
    <s v="NA"/>
    <n v="-4.8"/>
    <n v="-4.3"/>
    <s v="NA"/>
    <s v="NA"/>
    <n v="-5.3"/>
    <s v="NA"/>
    <n v="-5.3"/>
    <n v="-5.6"/>
    <s v="NA"/>
    <n v="-4.3"/>
    <n v="-5.3"/>
    <n v="-3.4"/>
    <n v="-1.7"/>
    <s v="NA"/>
    <s v="NA"/>
    <s v="NA"/>
    <n v="1"/>
    <n v="1"/>
    <n v="1"/>
    <n v="1"/>
    <n v="1"/>
    <n v="1"/>
    <x v="1"/>
    <x v="0"/>
    <n v="7"/>
    <x v="1"/>
    <n v="-1.94170776517039"/>
    <s v="NA"/>
    <s v="NA"/>
    <x v="1"/>
    <x v="0"/>
    <x v="2"/>
    <x v="0"/>
    <x v="0"/>
    <x v="13"/>
    <x v="7"/>
    <x v="0"/>
    <x v="0"/>
    <x v="6"/>
    <x v="0"/>
    <x v="5"/>
    <x v="3"/>
    <x v="0"/>
    <x v="6"/>
    <x v="5"/>
    <x v="3"/>
    <x v="0"/>
    <x v="5"/>
    <x v="0"/>
    <x v="0"/>
    <n v="2.04906350000808E-2"/>
    <n v="-51.2"/>
  </r>
  <r>
    <n v="21020"/>
    <x v="0"/>
    <x v="19"/>
    <x v="19"/>
    <x v="0"/>
    <s v="6WMS"/>
    <x v="9"/>
    <n v="3"/>
    <n v="4"/>
    <n v="5"/>
    <n v="60"/>
    <x v="0"/>
    <s v="NA"/>
    <s v="NA"/>
    <s v="NA"/>
    <s v="NA"/>
    <s v="NA"/>
    <n v="-4.9000000000000004"/>
    <s v="NA"/>
    <s v="NA"/>
    <s v="NA"/>
    <s v="NA"/>
    <s v="NA"/>
    <s v="NA"/>
    <s v="NA"/>
    <s v="NA"/>
    <s v="NA"/>
    <n v="-3.5"/>
    <s v="NA"/>
    <n v="-1.8"/>
    <s v="NA"/>
    <s v="NA"/>
    <s v="NA"/>
    <n v="1"/>
    <n v="0"/>
    <n v="0"/>
    <n v="0"/>
    <n v="1"/>
    <n v="1"/>
    <x v="0"/>
    <x v="0"/>
    <n v="3"/>
    <x v="1"/>
    <n v="0.14046396599104899"/>
    <s v="NA"/>
    <n v="2.42054945299139"/>
    <x v="0"/>
    <x v="0"/>
    <x v="0"/>
    <x v="0"/>
    <x v="0"/>
    <x v="14"/>
    <x v="0"/>
    <x v="0"/>
    <x v="0"/>
    <x v="0"/>
    <x v="0"/>
    <x v="0"/>
    <x v="0"/>
    <x v="0"/>
    <x v="0"/>
    <x v="6"/>
    <x v="0"/>
    <x v="0"/>
    <x v="15"/>
    <x v="0"/>
    <x v="0"/>
    <n v="1.6177748944745898E-2"/>
    <n v="-10.199999999999999"/>
  </r>
  <r>
    <n v="21021"/>
    <x v="0"/>
    <x v="20"/>
    <x v="20"/>
    <x v="0"/>
    <s v="MX76"/>
    <x v="1"/>
    <n v="4"/>
    <n v="4"/>
    <n v="4"/>
    <n v="100"/>
    <x v="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-2.7"/>
    <s v="NA"/>
    <s v="NA"/>
    <s v="NA"/>
    <n v="0"/>
    <n v="0"/>
    <n v="0"/>
    <n v="0"/>
    <n v="0"/>
    <n v="1"/>
    <x v="0"/>
    <x v="0"/>
    <n v="1"/>
    <x v="0"/>
    <n v="1.5285784534320099"/>
    <s v="NA"/>
    <n v="0.18726980390755099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16"/>
    <x v="0"/>
    <x v="0"/>
    <n v="1.9952623149688798E-3"/>
    <n v="-2.7"/>
  </r>
  <r>
    <n v="21022"/>
    <x v="0"/>
    <x v="21"/>
    <x v="21"/>
    <x v="0"/>
    <s v="CX7V"/>
    <x v="4"/>
    <n v="3"/>
    <n v="4"/>
    <n v="4"/>
    <n v="75"/>
    <x v="0"/>
    <n v="-3.9"/>
    <s v="NA"/>
    <s v="NA"/>
    <s v="NA"/>
    <s v="NA"/>
    <n v="-3.9"/>
    <n v="-3"/>
    <s v="NA"/>
    <s v="NA"/>
    <n v="-2.9"/>
    <s v="NA"/>
    <s v="NA"/>
    <s v="NA"/>
    <s v="NA"/>
    <s v="NA"/>
    <s v="NA"/>
    <s v="NA"/>
    <n v="-0.5"/>
    <s v="NA"/>
    <s v="NA"/>
    <s v="NA"/>
    <n v="1"/>
    <n v="1"/>
    <n v="0"/>
    <n v="0"/>
    <n v="0"/>
    <n v="1"/>
    <x v="0"/>
    <x v="0"/>
    <n v="3"/>
    <x v="1"/>
    <n v="0.66100689878140895"/>
    <s v="NA"/>
    <n v="-0.706042055725985"/>
    <x v="2"/>
    <x v="0"/>
    <x v="0"/>
    <x v="0"/>
    <x v="0"/>
    <x v="9"/>
    <x v="8"/>
    <x v="0"/>
    <x v="0"/>
    <x v="7"/>
    <x v="0"/>
    <x v="0"/>
    <x v="0"/>
    <x v="0"/>
    <x v="0"/>
    <x v="0"/>
    <x v="0"/>
    <x v="0"/>
    <x v="0"/>
    <x v="0"/>
    <x v="0"/>
    <n v="0.31873847651099102"/>
    <n v="-14.2"/>
  </r>
  <r>
    <n v="21023"/>
    <x v="0"/>
    <x v="22"/>
    <x v="22"/>
    <x v="0"/>
    <s v="X42F"/>
    <x v="10"/>
    <n v="3"/>
    <n v="4"/>
    <n v="5"/>
    <n v="60"/>
    <x v="0"/>
    <s v="NA"/>
    <s v="NA"/>
    <s v="NA"/>
    <s v="NA"/>
    <s v="NA"/>
    <n v="-5.0999999999999996"/>
    <s v="NA"/>
    <s v="NA"/>
    <s v="NA"/>
    <s v="NA"/>
    <s v="NA"/>
    <s v="NA"/>
    <s v="NA"/>
    <s v="NA"/>
    <s v="NA"/>
    <s v="NA"/>
    <s v="NA"/>
    <n v="-2.1"/>
    <s v="NA"/>
    <s v="NA"/>
    <s v="NA"/>
    <n v="1"/>
    <n v="0"/>
    <n v="0"/>
    <n v="0"/>
    <n v="0"/>
    <n v="1"/>
    <x v="0"/>
    <x v="0"/>
    <n v="2"/>
    <x v="0"/>
    <n v="0.14046396599104899"/>
    <s v="NA"/>
    <n v="1.7505655582662401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17"/>
    <x v="0"/>
    <x v="0"/>
    <n v="7.9512256295900599E-3"/>
    <n v="-7.2"/>
  </r>
  <r>
    <n v="21024"/>
    <x v="0"/>
    <x v="23"/>
    <x v="23"/>
    <x v="0"/>
    <s v="72VC"/>
    <x v="9"/>
    <n v="3"/>
    <n v="4"/>
    <n v="5"/>
    <n v="60"/>
    <x v="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-0.4"/>
    <s v="NA"/>
    <s v="NA"/>
    <s v="NA"/>
    <n v="0"/>
    <n v="0"/>
    <n v="0"/>
    <n v="0"/>
    <n v="0"/>
    <n v="1"/>
    <x v="0"/>
    <x v="0"/>
    <n v="1"/>
    <x v="0"/>
    <n v="0.14046396599104899"/>
    <s v="NA"/>
    <n v="2.42054945299139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18"/>
    <x v="0"/>
    <x v="0"/>
    <n v="0.39810717055349698"/>
    <n v="-0.4"/>
  </r>
  <r>
    <n v="21025"/>
    <x v="0"/>
    <x v="24"/>
    <x v="24"/>
    <x v="0"/>
    <s v="0|00L_MX7S"/>
    <x v="7"/>
    <n v="3"/>
    <n v="3"/>
    <n v="3"/>
    <n v="100"/>
    <x v="0"/>
    <n v="-2.9"/>
    <s v="NA"/>
    <s v="NA"/>
    <s v="NA"/>
    <s v="NA"/>
    <s v="NA"/>
    <s v="NA"/>
    <s v="NA"/>
    <s v="NA"/>
    <s v="NA"/>
    <s v="NA"/>
    <s v="NA"/>
    <s v="NA"/>
    <s v="NA"/>
    <s v="NA"/>
    <s v="NA"/>
    <s v="NA"/>
    <n v="0.5"/>
    <s v="NA"/>
    <s v="NA"/>
    <s v="NA"/>
    <n v="1"/>
    <n v="0"/>
    <n v="0"/>
    <n v="0"/>
    <n v="0"/>
    <n v="1"/>
    <x v="0"/>
    <x v="0"/>
    <n v="2"/>
    <x v="0"/>
    <n v="1.5285784534320099"/>
    <s v="NA"/>
    <n v="-0.48271409081760103"/>
    <x v="3"/>
    <x v="0"/>
    <x v="0"/>
    <x v="0"/>
    <x v="0"/>
    <x v="8"/>
    <x v="0"/>
    <x v="0"/>
    <x v="0"/>
    <x v="0"/>
    <x v="0"/>
    <x v="0"/>
    <x v="0"/>
    <x v="0"/>
    <x v="0"/>
    <x v="0"/>
    <x v="0"/>
    <x v="0"/>
    <x v="19"/>
    <x v="0"/>
    <x v="0"/>
    <n v="3.1635365855801698"/>
    <n v="-2.4"/>
  </r>
  <r>
    <n v="21026"/>
    <x v="0"/>
    <x v="25"/>
    <x v="25"/>
    <x v="0"/>
    <s v="CX9V_F102"/>
    <x v="4"/>
    <n v="2"/>
    <n v="2"/>
    <n v="3"/>
    <n v="67"/>
    <x v="0"/>
    <s v="NA"/>
    <s v="NA"/>
    <s v="NA"/>
    <s v="NA"/>
    <s v="NA"/>
    <n v="-6"/>
    <s v="NA"/>
    <s v="NA"/>
    <s v="NA"/>
    <s v="NA"/>
    <s v="NA"/>
    <s v="NA"/>
    <s v="NA"/>
    <s v="NA"/>
    <s v="NA"/>
    <s v="NA"/>
    <s v="NA"/>
    <n v="-2.6"/>
    <s v="NA"/>
    <s v="NA"/>
    <s v="NA"/>
    <n v="1"/>
    <n v="0"/>
    <n v="0"/>
    <n v="0"/>
    <n v="0"/>
    <n v="1"/>
    <x v="0"/>
    <x v="0"/>
    <n v="2"/>
    <x v="0"/>
    <n v="0.38338400129321698"/>
    <s v="NA"/>
    <n v="-0.706042055725985"/>
    <x v="0"/>
    <x v="0"/>
    <x v="0"/>
    <x v="0"/>
    <x v="0"/>
    <x v="16"/>
    <x v="0"/>
    <x v="0"/>
    <x v="0"/>
    <x v="0"/>
    <x v="0"/>
    <x v="0"/>
    <x v="0"/>
    <x v="0"/>
    <x v="0"/>
    <x v="0"/>
    <x v="0"/>
    <x v="0"/>
    <x v="20"/>
    <x v="0"/>
    <x v="0"/>
    <n v="2.51288643150958E-3"/>
    <n v="-8.6"/>
  </r>
  <r>
    <n v="21027"/>
    <x v="0"/>
    <x v="26"/>
    <x v="26"/>
    <x v="0"/>
    <s v="C9AM"/>
    <x v="7"/>
    <n v="2"/>
    <n v="3"/>
    <n v="4"/>
    <n v="50"/>
    <x v="0"/>
    <n v="-1.4"/>
    <s v="NA"/>
    <s v="NA"/>
    <s v="NA"/>
    <s v="NA"/>
    <n v="-1.4"/>
    <s v="NA"/>
    <s v="NA"/>
    <s v="NA"/>
    <s v="NA"/>
    <s v="NA"/>
    <s v="NA"/>
    <s v="NA"/>
    <s v="NA"/>
    <s v="NA"/>
    <s v="NA"/>
    <s v="NA"/>
    <s v="NA"/>
    <s v="NA"/>
    <s v="NA"/>
    <s v="NA"/>
    <n v="1"/>
    <n v="0"/>
    <n v="0"/>
    <n v="0"/>
    <n v="0"/>
    <n v="0"/>
    <x v="0"/>
    <x v="0"/>
    <n v="1"/>
    <x v="0"/>
    <n v="-0.20656465586919001"/>
    <s v="NA"/>
    <n v="-0.48271409081760103"/>
    <x v="4"/>
    <x v="0"/>
    <x v="0"/>
    <x v="0"/>
    <x v="0"/>
    <x v="17"/>
    <x v="0"/>
    <x v="0"/>
    <x v="0"/>
    <x v="0"/>
    <x v="0"/>
    <x v="0"/>
    <x v="0"/>
    <x v="0"/>
    <x v="0"/>
    <x v="0"/>
    <x v="0"/>
    <x v="0"/>
    <x v="14"/>
    <x v="0"/>
    <x v="0"/>
    <n v="7.9621434110699496E-2"/>
    <n v="-2.8"/>
  </r>
  <r>
    <n v="21028"/>
    <x v="0"/>
    <x v="27"/>
    <x v="27"/>
    <x v="1"/>
    <s v="0|053"/>
    <x v="6"/>
    <n v="0"/>
    <n v="0"/>
    <n v="3"/>
    <n v="0"/>
    <x v="0"/>
    <n v="-5.0999999999999996"/>
    <s v="NA"/>
    <s v="NA"/>
    <s v="NA"/>
    <s v="NA"/>
    <n v="-5.3"/>
    <n v="-4.9000000000000004"/>
    <s v="NA"/>
    <s v="NA"/>
    <s v="NA"/>
    <s v="NA"/>
    <s v="NA"/>
    <s v="NA"/>
    <s v="NA"/>
    <s v="NA"/>
    <s v="NA"/>
    <s v="NA"/>
    <n v="-2"/>
    <s v="NA"/>
    <s v="NA"/>
    <s v="NA"/>
    <n v="1"/>
    <n v="0"/>
    <n v="0"/>
    <n v="0"/>
    <n v="0"/>
    <n v="1"/>
    <x v="0"/>
    <x v="0"/>
    <n v="2"/>
    <x v="0"/>
    <n v="-1.94170776517039"/>
    <s v="NA"/>
    <n v="-1.1526979855427499"/>
    <x v="5"/>
    <x v="0"/>
    <x v="0"/>
    <x v="0"/>
    <x v="0"/>
    <x v="18"/>
    <x v="9"/>
    <x v="0"/>
    <x v="0"/>
    <x v="0"/>
    <x v="0"/>
    <x v="0"/>
    <x v="0"/>
    <x v="0"/>
    <x v="0"/>
    <x v="0"/>
    <x v="0"/>
    <x v="0"/>
    <x v="21"/>
    <x v="0"/>
    <x v="0"/>
    <n v="1.00255444088015E-2"/>
    <n v="-17.3"/>
  </r>
  <r>
    <n v="21029"/>
    <x v="0"/>
    <x v="28"/>
    <x v="28"/>
    <x v="0"/>
    <s v="NA8A"/>
    <x v="7"/>
    <n v="4"/>
    <n v="4"/>
    <n v="4"/>
    <n v="100"/>
    <x v="0"/>
    <s v="NA"/>
    <s v="NA"/>
    <s v="NA"/>
    <s v="NA"/>
    <s v="NA"/>
    <n v="-5.8"/>
    <s v="NA"/>
    <s v="NA"/>
    <s v="NA"/>
    <s v="NA"/>
    <s v="NA"/>
    <s v="NA"/>
    <s v="NA"/>
    <s v="NA"/>
    <s v="NA"/>
    <s v="NA"/>
    <s v="NA"/>
    <n v="-2.2000000000000002"/>
    <s v="NA"/>
    <s v="NA"/>
    <s v="NA"/>
    <n v="1"/>
    <n v="0"/>
    <n v="0"/>
    <n v="0"/>
    <n v="0"/>
    <n v="1"/>
    <x v="0"/>
    <x v="0"/>
    <n v="2"/>
    <x v="0"/>
    <n v="1.5285784534320099"/>
    <s v="NA"/>
    <n v="-0.48271409081760103"/>
    <x v="0"/>
    <x v="0"/>
    <x v="0"/>
    <x v="0"/>
    <x v="0"/>
    <x v="19"/>
    <x v="0"/>
    <x v="0"/>
    <x v="0"/>
    <x v="0"/>
    <x v="0"/>
    <x v="0"/>
    <x v="0"/>
    <x v="0"/>
    <x v="0"/>
    <x v="0"/>
    <x v="0"/>
    <x v="0"/>
    <x v="4"/>
    <x v="0"/>
    <x v="0"/>
    <n v="6.3111583379943902E-3"/>
    <n v="-8"/>
  </r>
  <r>
    <n v="21030"/>
    <x v="0"/>
    <x v="29"/>
    <x v="29"/>
    <x v="1"/>
    <s v="891V"/>
    <x v="11"/>
    <n v="3"/>
    <n v="3"/>
    <n v="5"/>
    <n v="60"/>
    <x v="0"/>
    <s v="NA"/>
    <s v="NA"/>
    <s v="NA"/>
    <s v="NA"/>
    <s v="NA"/>
    <n v="-5.5"/>
    <s v="NA"/>
    <s v="NA"/>
    <s v="NA"/>
    <s v="NA"/>
    <s v="NA"/>
    <s v="NA"/>
    <s v="NA"/>
    <s v="NA"/>
    <s v="NA"/>
    <s v="NA"/>
    <s v="NA"/>
    <n v="-3.1"/>
    <s v="NA"/>
    <s v="NA"/>
    <s v="NA"/>
    <n v="1"/>
    <n v="0"/>
    <n v="0"/>
    <n v="0"/>
    <n v="0"/>
    <n v="1"/>
    <x v="0"/>
    <x v="0"/>
    <n v="2"/>
    <x v="0"/>
    <n v="0.14046396599104899"/>
    <s v="NA"/>
    <n v="0.85725369863270295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22"/>
    <x v="0"/>
    <x v="0"/>
    <n v="7.9749051238444996E-4"/>
    <n v="-8.6"/>
  </r>
  <r>
    <n v="21031"/>
    <x v="0"/>
    <x v="30"/>
    <x v="30"/>
    <x v="1"/>
    <s v="C981"/>
    <x v="7"/>
    <n v="0"/>
    <n v="0"/>
    <n v="0"/>
    <n v="0"/>
    <x v="0"/>
    <s v="NA"/>
    <s v="NA"/>
    <s v="NA"/>
    <s v="NA"/>
    <s v="NA"/>
    <n v="-4.8"/>
    <s v="NA"/>
    <s v="NA"/>
    <s v="NA"/>
    <s v="NA"/>
    <s v="NA"/>
    <s v="NA"/>
    <s v="NA"/>
    <s v="NA"/>
    <s v="NA"/>
    <s v="NA"/>
    <s v="NA"/>
    <n v="-1.6"/>
    <s v="NA"/>
    <s v="NA"/>
    <s v="NA"/>
    <n v="1"/>
    <n v="0"/>
    <n v="0"/>
    <n v="0"/>
    <n v="0"/>
    <n v="1"/>
    <x v="0"/>
    <x v="0"/>
    <n v="2"/>
    <x v="0"/>
    <n v="-1.94170776517039"/>
    <s v="NA"/>
    <n v="-0.48271409081760103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1"/>
    <x v="0"/>
    <x v="0"/>
    <n v="2.51347132470204E-2"/>
    <n v="-6.4"/>
  </r>
  <r>
    <n v="21032"/>
    <x v="0"/>
    <x v="31"/>
    <x v="1"/>
    <x v="2"/>
    <s v="N170"/>
    <x v="1"/>
    <n v="3"/>
    <n v="3"/>
    <n v="3"/>
    <n v="100"/>
    <x v="0"/>
    <n v="-3.7"/>
    <s v="NA"/>
    <s v="NA"/>
    <s v="NA"/>
    <s v="NA"/>
    <n v="-4.0999999999999996"/>
    <s v="NA"/>
    <s v="NA"/>
    <s v="NA"/>
    <n v="-3.4"/>
    <s v="NA"/>
    <s v="NA"/>
    <s v="NA"/>
    <s v="NA"/>
    <s v="NA"/>
    <s v="NA"/>
    <s v="NA"/>
    <n v="-0.7"/>
    <s v="NA"/>
    <s v="NA"/>
    <s v="NA"/>
    <n v="1"/>
    <n v="1"/>
    <n v="0"/>
    <n v="0"/>
    <n v="0"/>
    <n v="1"/>
    <x v="0"/>
    <x v="0"/>
    <n v="3"/>
    <x v="1"/>
    <n v="1.5285784534320099"/>
    <s v="NA"/>
    <n v="0.18726980390755099"/>
    <x v="6"/>
    <x v="0"/>
    <x v="0"/>
    <x v="0"/>
    <x v="0"/>
    <x v="11"/>
    <x v="0"/>
    <x v="0"/>
    <x v="0"/>
    <x v="8"/>
    <x v="0"/>
    <x v="0"/>
    <x v="0"/>
    <x v="0"/>
    <x v="0"/>
    <x v="0"/>
    <x v="0"/>
    <x v="0"/>
    <x v="23"/>
    <x v="0"/>
    <x v="0"/>
    <n v="0.20020329772241099"/>
    <n v="-11.9"/>
  </r>
  <r>
    <n v="21033"/>
    <x v="0"/>
    <x v="32"/>
    <x v="2"/>
    <x v="0"/>
    <s v="C98A"/>
    <x v="2"/>
    <n v="2"/>
    <n v="2"/>
    <n v="5"/>
    <n v="40"/>
    <x v="0"/>
    <s v="NA"/>
    <s v="NA"/>
    <s v="NA"/>
    <s v="NA"/>
    <s v="NA"/>
    <n v="-5.2"/>
    <s v="NA"/>
    <s v="NA"/>
    <s v="NA"/>
    <s v="NA"/>
    <s v="NA"/>
    <n v="-4.8"/>
    <s v="NA"/>
    <s v="NA"/>
    <s v="NA"/>
    <s v="NA"/>
    <s v="NA"/>
    <n v="-1.4"/>
    <s v="NA"/>
    <s v="NA"/>
    <s v="NA"/>
    <n v="1"/>
    <n v="0"/>
    <n v="1"/>
    <n v="0"/>
    <n v="0"/>
    <n v="1"/>
    <x v="0"/>
    <x v="0"/>
    <n v="3"/>
    <x v="1"/>
    <n v="-0.55359327772942901"/>
    <s v="NA"/>
    <s v="NA"/>
    <x v="0"/>
    <x v="0"/>
    <x v="0"/>
    <x v="0"/>
    <x v="0"/>
    <x v="2"/>
    <x v="0"/>
    <x v="0"/>
    <x v="0"/>
    <x v="0"/>
    <x v="0"/>
    <x v="6"/>
    <x v="0"/>
    <x v="0"/>
    <x v="0"/>
    <x v="0"/>
    <x v="0"/>
    <x v="0"/>
    <x v="24"/>
    <x v="0"/>
    <x v="0"/>
    <n v="3.98328755607191E-2"/>
    <n v="-11.4"/>
  </r>
  <r>
    <n v="21034"/>
    <x v="0"/>
    <x v="33"/>
    <x v="3"/>
    <x v="1"/>
    <s v="A09X"/>
    <x v="3"/>
    <n v="0"/>
    <n v="5"/>
    <n v="5"/>
    <n v="0"/>
    <x v="0"/>
    <n v="-4.8"/>
    <s v="NA"/>
    <n v="-4.5999999999999996"/>
    <s v="NA"/>
    <s v="NA"/>
    <n v="-4.9000000000000004"/>
    <s v="NA"/>
    <n v="-4.7"/>
    <s v="NA"/>
    <n v="-4.8"/>
    <s v="NA"/>
    <n v="-4.5"/>
    <s v="NA"/>
    <s v="NA"/>
    <n v="-4.2"/>
    <n v="-4.8"/>
    <s v="NA"/>
    <n v="-1.1000000000000001"/>
    <n v="-3.6"/>
    <s v="NA"/>
    <s v="NA"/>
    <n v="1"/>
    <n v="1"/>
    <n v="1"/>
    <n v="0"/>
    <n v="1"/>
    <n v="1"/>
    <x v="1"/>
    <x v="0"/>
    <n v="6"/>
    <x v="1"/>
    <n v="-1.94170776517039"/>
    <s v="NA"/>
    <n v="0.41059776881593502"/>
    <x v="7"/>
    <x v="0"/>
    <x v="3"/>
    <x v="0"/>
    <x v="0"/>
    <x v="14"/>
    <x v="0"/>
    <x v="2"/>
    <x v="0"/>
    <x v="9"/>
    <x v="0"/>
    <x v="4"/>
    <x v="0"/>
    <x v="0"/>
    <x v="7"/>
    <x v="7"/>
    <x v="0"/>
    <x v="1"/>
    <x v="25"/>
    <x v="0"/>
    <x v="0"/>
    <n v="7.9883938163985396E-2"/>
    <n v="-42"/>
  </r>
  <r>
    <n v="21035"/>
    <x v="0"/>
    <x v="34"/>
    <x v="4"/>
    <x v="2"/>
    <s v="CX94_F104"/>
    <x v="4"/>
    <n v="2"/>
    <n v="2"/>
    <n v="3"/>
    <n v="67"/>
    <x v="0"/>
    <s v="NA"/>
    <s v="NA"/>
    <s v="NA"/>
    <s v="NA"/>
    <s v="NA"/>
    <n v="-6.3"/>
    <s v="NA"/>
    <s v="NA"/>
    <s v="NA"/>
    <n v="-5.2"/>
    <s v="NA"/>
    <s v="NA"/>
    <s v="NA"/>
    <s v="NA"/>
    <s v="NA"/>
    <s v="NA"/>
    <s v="NA"/>
    <n v="-2.4"/>
    <s v="NA"/>
    <s v="NA"/>
    <s v="NA"/>
    <n v="1"/>
    <n v="1"/>
    <n v="0"/>
    <n v="0"/>
    <n v="0"/>
    <n v="1"/>
    <x v="0"/>
    <x v="0"/>
    <n v="3"/>
    <x v="1"/>
    <n v="0.38338400129321698"/>
    <s v="NA"/>
    <n v="-0.706042055725985"/>
    <x v="0"/>
    <x v="0"/>
    <x v="0"/>
    <x v="0"/>
    <x v="0"/>
    <x v="21"/>
    <x v="0"/>
    <x v="0"/>
    <x v="0"/>
    <x v="10"/>
    <x v="0"/>
    <x v="0"/>
    <x v="0"/>
    <x v="0"/>
    <x v="0"/>
    <x v="0"/>
    <x v="0"/>
    <x v="0"/>
    <x v="26"/>
    <x v="0"/>
    <x v="0"/>
    <n v="3.9878824662134002E-3"/>
    <n v="-13.9"/>
  </r>
  <r>
    <n v="21036"/>
    <x v="0"/>
    <x v="35"/>
    <x v="5"/>
    <x v="2"/>
    <s v="SXX1"/>
    <x v="2"/>
    <n v="2"/>
    <n v="4"/>
    <n v="5"/>
    <n v="40"/>
    <x v="0"/>
    <s v="NA"/>
    <s v="NA"/>
    <s v="NA"/>
    <s v="NA"/>
    <s v="NA"/>
    <n v="-4"/>
    <s v="NA"/>
    <s v="NA"/>
    <n v="-2.2999999999999998"/>
    <s v="NA"/>
    <s v="NA"/>
    <s v="NA"/>
    <s v="NA"/>
    <s v="NA"/>
    <s v="NA"/>
    <s v="NA"/>
    <s v="NA"/>
    <n v="-1.2"/>
    <s v="NA"/>
    <s v="NA"/>
    <s v="NA"/>
    <n v="1"/>
    <n v="1"/>
    <n v="0"/>
    <n v="0"/>
    <n v="0"/>
    <n v="1"/>
    <x v="0"/>
    <x v="0"/>
    <n v="3"/>
    <x v="1"/>
    <n v="-0.55359327772942901"/>
    <s v="NA"/>
    <s v="NA"/>
    <x v="0"/>
    <x v="0"/>
    <x v="0"/>
    <x v="0"/>
    <x v="0"/>
    <x v="22"/>
    <x v="0"/>
    <x v="0"/>
    <x v="1"/>
    <x v="0"/>
    <x v="0"/>
    <x v="0"/>
    <x v="0"/>
    <x v="0"/>
    <x v="0"/>
    <x v="0"/>
    <x v="0"/>
    <x v="0"/>
    <x v="27"/>
    <x v="0"/>
    <x v="0"/>
    <n v="6.8207606784292094E-2"/>
    <n v="-7.5"/>
  </r>
  <r>
    <n v="21037"/>
    <x v="0"/>
    <x v="36"/>
    <x v="6"/>
    <x v="2"/>
    <s v="CXW3"/>
    <x v="4"/>
    <n v="3"/>
    <n v="4"/>
    <n v="5"/>
    <n v="60"/>
    <x v="0"/>
    <s v="NA"/>
    <s v="NA"/>
    <s v="NA"/>
    <s v="NA"/>
    <s v="NA"/>
    <n v="-5.7"/>
    <s v="NA"/>
    <s v="NA"/>
    <n v="-3.9"/>
    <s v="NA"/>
    <n v="-5.4"/>
    <s v="NA"/>
    <s v="NA"/>
    <s v="NA"/>
    <s v="NA"/>
    <s v="NA"/>
    <n v="-5.0999999999999996"/>
    <n v="-3.4"/>
    <n v="-4.4000000000000004"/>
    <s v="NA"/>
    <s v="NA"/>
    <n v="1"/>
    <n v="1"/>
    <n v="1"/>
    <n v="0"/>
    <n v="0"/>
    <n v="1"/>
    <x v="1"/>
    <x v="0"/>
    <n v="5"/>
    <x v="1"/>
    <n v="0.14046396599104899"/>
    <s v="NA"/>
    <n v="-0.706042055725985"/>
    <x v="0"/>
    <x v="0"/>
    <x v="0"/>
    <x v="0"/>
    <x v="0"/>
    <x v="23"/>
    <x v="0"/>
    <x v="0"/>
    <x v="2"/>
    <x v="0"/>
    <x v="5"/>
    <x v="0"/>
    <x v="0"/>
    <x v="0"/>
    <x v="0"/>
    <x v="0"/>
    <x v="4"/>
    <x v="2"/>
    <x v="3"/>
    <x v="0"/>
    <x v="0"/>
    <n v="5.7773004515601005E-4"/>
    <n v="-27.9"/>
  </r>
  <r>
    <n v="21038"/>
    <x v="0"/>
    <x v="37"/>
    <x v="7"/>
    <x v="0"/>
    <s v="0|005_02L1"/>
    <x v="5"/>
    <n v="2"/>
    <n v="4"/>
    <n v="4"/>
    <n v="50"/>
    <x v="0"/>
    <s v="NA"/>
    <s v="NA"/>
    <s v="NA"/>
    <s v="NA"/>
    <s v="NA"/>
    <s v="NA"/>
    <s v="NA"/>
    <s v="NA"/>
    <n v="-3.1"/>
    <s v="NA"/>
    <s v="NA"/>
    <s v="NA"/>
    <s v="NA"/>
    <s v="NA"/>
    <s v="NA"/>
    <s v="NA"/>
    <n v="-4.5"/>
    <n v="-1.8"/>
    <n v="-4.3"/>
    <s v="NA"/>
    <s v="NA"/>
    <n v="0"/>
    <n v="1"/>
    <n v="0"/>
    <n v="0"/>
    <n v="0"/>
    <n v="1"/>
    <x v="1"/>
    <x v="0"/>
    <n v="3"/>
    <x v="1"/>
    <n v="-0.20656465586919001"/>
    <s v="NA"/>
    <n v="-1.26436196799695"/>
    <x v="0"/>
    <x v="0"/>
    <x v="0"/>
    <x v="0"/>
    <x v="0"/>
    <x v="8"/>
    <x v="0"/>
    <x v="0"/>
    <x v="3"/>
    <x v="0"/>
    <x v="0"/>
    <x v="0"/>
    <x v="0"/>
    <x v="0"/>
    <x v="0"/>
    <x v="0"/>
    <x v="5"/>
    <x v="3"/>
    <x v="15"/>
    <x v="0"/>
    <x v="0"/>
    <n v="1.6725001659299799E-2"/>
    <n v="-13.7"/>
  </r>
  <r>
    <n v="21039"/>
    <x v="0"/>
    <x v="38"/>
    <x v="8"/>
    <x v="2"/>
    <s v="0|05W"/>
    <x v="6"/>
    <n v="0"/>
    <n v="4"/>
    <n v="4"/>
    <n v="0"/>
    <x v="0"/>
    <s v="NA"/>
    <s v="NA"/>
    <s v="NA"/>
    <s v="NA"/>
    <s v="NA"/>
    <n v="-5.6"/>
    <s v="NA"/>
    <s v="NA"/>
    <n v="-3.7"/>
    <s v="NA"/>
    <s v="NA"/>
    <s v="NA"/>
    <s v="NA"/>
    <s v="NA"/>
    <s v="NA"/>
    <s v="NA"/>
    <n v="-5.5"/>
    <n v="-1.5"/>
    <n v="-4.7"/>
    <s v="NA"/>
    <s v="NA"/>
    <n v="1"/>
    <n v="1"/>
    <n v="0"/>
    <n v="0"/>
    <n v="0"/>
    <n v="1"/>
    <x v="1"/>
    <x v="0"/>
    <n v="4"/>
    <x v="1"/>
    <n v="-1.94170776517039"/>
    <s v="NA"/>
    <n v="-1.1526979855427499"/>
    <x v="0"/>
    <x v="0"/>
    <x v="0"/>
    <x v="0"/>
    <x v="0"/>
    <x v="24"/>
    <x v="0"/>
    <x v="0"/>
    <x v="4"/>
    <x v="0"/>
    <x v="0"/>
    <x v="0"/>
    <x v="0"/>
    <x v="0"/>
    <x v="0"/>
    <x v="0"/>
    <x v="6"/>
    <x v="4"/>
    <x v="28"/>
    <x v="0"/>
    <x v="0"/>
    <n v="3.1847929620422002E-2"/>
    <n v="-21"/>
  </r>
  <r>
    <n v="21041"/>
    <x v="0"/>
    <x v="39"/>
    <x v="12"/>
    <x v="2"/>
    <s v="C982"/>
    <x v="7"/>
    <n v="0"/>
    <n v="4"/>
    <n v="4"/>
    <n v="0"/>
    <x v="0"/>
    <s v="NA"/>
    <s v="NA"/>
    <n v="-3.1"/>
    <n v="-3.8"/>
    <s v="NA"/>
    <n v="-3.6"/>
    <s v="NA"/>
    <s v="NA"/>
    <n v="-1.9"/>
    <s v="NA"/>
    <s v="NA"/>
    <s v="NA"/>
    <s v="NA"/>
    <s v="NA"/>
    <s v="NA"/>
    <s v="NA"/>
    <s v="NA"/>
    <n v="-0.3"/>
    <s v="NA"/>
    <s v="NA"/>
    <s v="NA"/>
    <n v="1"/>
    <n v="1"/>
    <n v="0"/>
    <n v="0"/>
    <n v="0"/>
    <n v="1"/>
    <x v="0"/>
    <x v="0"/>
    <n v="3"/>
    <x v="1"/>
    <n v="-1.94170776517039"/>
    <s v="NA"/>
    <n v="-0.48271409081760103"/>
    <x v="0"/>
    <x v="0"/>
    <x v="4"/>
    <x v="5"/>
    <x v="0"/>
    <x v="25"/>
    <x v="0"/>
    <x v="0"/>
    <x v="5"/>
    <x v="0"/>
    <x v="0"/>
    <x v="0"/>
    <x v="0"/>
    <x v="0"/>
    <x v="0"/>
    <x v="0"/>
    <x v="0"/>
    <x v="0"/>
    <x v="8"/>
    <x v="0"/>
    <x v="0"/>
    <n v="0.51498049394233503"/>
    <n v="-12.7"/>
  </r>
  <r>
    <n v="21042"/>
    <x v="0"/>
    <x v="40"/>
    <x v="13"/>
    <x v="2"/>
    <s v="N4N6"/>
    <x v="8"/>
    <n v="1"/>
    <n v="2"/>
    <n v="2"/>
    <n v="50"/>
    <x v="0"/>
    <s v="NA"/>
    <s v="NA"/>
    <s v="NA"/>
    <n v="1"/>
    <s v="NA"/>
    <n v="-0.2"/>
    <n v="-0.3"/>
    <s v="NA"/>
    <s v="NA"/>
    <s v="NA"/>
    <s v="NA"/>
    <n v="-0.7"/>
    <s v="NA"/>
    <s v="NA"/>
    <s v="NA"/>
    <s v="NA"/>
    <s v="NA"/>
    <n v="1.2"/>
    <s v="NA"/>
    <s v="NA"/>
    <s v="NA"/>
    <n v="1"/>
    <n v="0"/>
    <n v="1"/>
    <n v="0"/>
    <n v="0"/>
    <n v="1"/>
    <x v="0"/>
    <x v="0"/>
    <n v="3"/>
    <x v="1"/>
    <n v="-0.20656465586919001"/>
    <s v="NA"/>
    <n v="-0.259386125909217"/>
    <x v="0"/>
    <x v="0"/>
    <x v="0"/>
    <x v="7"/>
    <x v="0"/>
    <x v="26"/>
    <x v="10"/>
    <x v="0"/>
    <x v="0"/>
    <x v="0"/>
    <x v="0"/>
    <x v="7"/>
    <x v="0"/>
    <x v="0"/>
    <x v="0"/>
    <x v="0"/>
    <x v="0"/>
    <x v="0"/>
    <x v="29"/>
    <x v="0"/>
    <x v="0"/>
    <n v="27.180602734215501"/>
    <n v="1"/>
  </r>
  <r>
    <n v="21044"/>
    <x v="0"/>
    <x v="41"/>
    <x v="16"/>
    <x v="2"/>
    <s v="C967"/>
    <x v="7"/>
    <n v="4"/>
    <n v="4"/>
    <n v="4"/>
    <n v="100"/>
    <x v="0"/>
    <n v="-5.0999999999999996"/>
    <s v="NA"/>
    <s v="NA"/>
    <n v="-5.6"/>
    <s v="NA"/>
    <n v="-5.7"/>
    <n v="-4.7"/>
    <s v="NA"/>
    <n v="-3.9"/>
    <n v="-4.0999999999999996"/>
    <n v="-4.5"/>
    <n v="-4.5999999999999996"/>
    <s v="NA"/>
    <s v="NA"/>
    <n v="-3.9"/>
    <s v="NA"/>
    <n v="-5.6"/>
    <n v="-1.1000000000000001"/>
    <s v="NA"/>
    <s v="NA"/>
    <s v="NA"/>
    <n v="1"/>
    <n v="1"/>
    <n v="1"/>
    <n v="0"/>
    <n v="1"/>
    <n v="1"/>
    <x v="1"/>
    <x v="0"/>
    <n v="6"/>
    <x v="1"/>
    <n v="1.5285784534320099"/>
    <s v="NA"/>
    <n v="-0.48271409081760103"/>
    <x v="5"/>
    <x v="0"/>
    <x v="0"/>
    <x v="8"/>
    <x v="0"/>
    <x v="23"/>
    <x v="11"/>
    <x v="0"/>
    <x v="2"/>
    <x v="1"/>
    <x v="6"/>
    <x v="8"/>
    <x v="0"/>
    <x v="0"/>
    <x v="8"/>
    <x v="0"/>
    <x v="7"/>
    <x v="0"/>
    <x v="25"/>
    <x v="0"/>
    <x v="0"/>
    <n v="7.9855697959851105E-2"/>
    <n v="-48.8"/>
  </r>
  <r>
    <n v="21046"/>
    <x v="0"/>
    <x v="42"/>
    <x v="19"/>
    <x v="2"/>
    <s v="6WMS"/>
    <x v="9"/>
    <n v="3"/>
    <n v="4"/>
    <n v="5"/>
    <n v="60"/>
    <x v="0"/>
    <s v="NA"/>
    <n v="-4.2"/>
    <n v="-5.0999999999999996"/>
    <n v="-5.3"/>
    <s v="NA"/>
    <n v="-5.6"/>
    <n v="-4.9000000000000004"/>
    <s v="NA"/>
    <n v="-3.9"/>
    <n v="-4.7"/>
    <n v="-4.9000000000000004"/>
    <n v="-5.2"/>
    <s v="NA"/>
    <s v="NA"/>
    <s v="NA"/>
    <s v="NA"/>
    <n v="-5.2"/>
    <n v="-2"/>
    <s v="NA"/>
    <s v="NA"/>
    <n v="-5.2"/>
    <n v="1"/>
    <n v="1"/>
    <n v="1"/>
    <n v="0"/>
    <n v="0"/>
    <n v="1"/>
    <x v="1"/>
    <x v="1"/>
    <n v="6"/>
    <x v="1"/>
    <n v="0.14046396599104899"/>
    <s v="NA"/>
    <n v="2.42054945299139"/>
    <x v="0"/>
    <x v="3"/>
    <x v="5"/>
    <x v="9"/>
    <x v="0"/>
    <x v="24"/>
    <x v="9"/>
    <x v="0"/>
    <x v="2"/>
    <x v="11"/>
    <x v="7"/>
    <x v="9"/>
    <x v="0"/>
    <x v="0"/>
    <x v="0"/>
    <x v="0"/>
    <x v="8"/>
    <x v="0"/>
    <x v="21"/>
    <x v="0"/>
    <x v="2"/>
    <n v="1.0268515168462399E-2"/>
    <n v="-56.2"/>
  </r>
  <r>
    <n v="21047"/>
    <x v="0"/>
    <x v="43"/>
    <x v="20"/>
    <x v="2"/>
    <s v="MX76"/>
    <x v="1"/>
    <n v="4"/>
    <n v="4"/>
    <n v="4"/>
    <n v="100"/>
    <x v="0"/>
    <n v="-3.6"/>
    <s v="NA"/>
    <s v="NA"/>
    <s v="NA"/>
    <s v="NA"/>
    <n v="-4"/>
    <s v="NA"/>
    <s v="NA"/>
    <n v="-2.6"/>
    <s v="NA"/>
    <n v="-3.7"/>
    <s v="NA"/>
    <s v="NA"/>
    <s v="NA"/>
    <s v="NA"/>
    <s v="NA"/>
    <s v="NA"/>
    <s v="NA"/>
    <s v="NA"/>
    <s v="NA"/>
    <s v="NA"/>
    <n v="1"/>
    <n v="1"/>
    <n v="1"/>
    <n v="0"/>
    <n v="0"/>
    <n v="0"/>
    <x v="0"/>
    <x v="0"/>
    <n v="3"/>
    <x v="1"/>
    <n v="1.5285784534320099"/>
    <s v="NA"/>
    <n v="0.18726980390755099"/>
    <x v="8"/>
    <x v="0"/>
    <x v="0"/>
    <x v="0"/>
    <x v="0"/>
    <x v="22"/>
    <x v="0"/>
    <x v="0"/>
    <x v="6"/>
    <x v="0"/>
    <x v="8"/>
    <x v="0"/>
    <x v="0"/>
    <x v="0"/>
    <x v="0"/>
    <x v="0"/>
    <x v="0"/>
    <x v="0"/>
    <x v="14"/>
    <x v="0"/>
    <x v="0"/>
    <n v="3.06260130615743E-3"/>
    <n v="-13.9"/>
  </r>
  <r>
    <n v="21048"/>
    <x v="0"/>
    <x v="44"/>
    <x v="21"/>
    <x v="2"/>
    <s v="CX7V"/>
    <x v="4"/>
    <n v="3"/>
    <n v="4"/>
    <n v="4"/>
    <n v="75"/>
    <x v="0"/>
    <s v="NA"/>
    <s v="NA"/>
    <s v="NA"/>
    <s v="NA"/>
    <s v="NA"/>
    <s v="NA"/>
    <s v="NA"/>
    <s v="NA"/>
    <n v="0.7"/>
    <n v="-0.1"/>
    <s v="NA"/>
    <s v="NA"/>
    <s v="NA"/>
    <s v="NA"/>
    <s v="NA"/>
    <s v="NA"/>
    <s v="NA"/>
    <s v="NA"/>
    <s v="NA"/>
    <s v="NA"/>
    <s v="NA"/>
    <n v="0"/>
    <n v="1"/>
    <n v="0"/>
    <n v="0"/>
    <n v="0"/>
    <n v="0"/>
    <x v="0"/>
    <x v="0"/>
    <n v="1"/>
    <x v="0"/>
    <n v="0.66100689878140895"/>
    <s v="NA"/>
    <n v="-0.706042055725985"/>
    <x v="0"/>
    <x v="0"/>
    <x v="0"/>
    <x v="0"/>
    <x v="0"/>
    <x v="8"/>
    <x v="0"/>
    <x v="0"/>
    <x v="7"/>
    <x v="12"/>
    <x v="0"/>
    <x v="0"/>
    <x v="0"/>
    <x v="0"/>
    <x v="0"/>
    <x v="0"/>
    <x v="0"/>
    <x v="0"/>
    <x v="14"/>
    <x v="0"/>
    <x v="0"/>
    <n v="5.8062005709970004"/>
    <n v="0.6"/>
  </r>
  <r>
    <n v="21049"/>
    <x v="0"/>
    <x v="45"/>
    <x v="22"/>
    <x v="2"/>
    <s v="X42F"/>
    <x v="10"/>
    <n v="3"/>
    <n v="4"/>
    <n v="5"/>
    <n v="60"/>
    <x v="0"/>
    <s v="NA"/>
    <s v="NA"/>
    <s v="NA"/>
    <s v="NA"/>
    <s v="NA"/>
    <n v="-0.6"/>
    <n v="-0.5"/>
    <s v="NA"/>
    <s v="NA"/>
    <s v="NA"/>
    <s v="NA"/>
    <s v="NA"/>
    <s v="NA"/>
    <s v="NA"/>
    <s v="NA"/>
    <s v="NA"/>
    <s v="NA"/>
    <n v="1.4"/>
    <s v="NA"/>
    <s v="NA"/>
    <s v="NA"/>
    <n v="1"/>
    <n v="0"/>
    <n v="0"/>
    <n v="0"/>
    <n v="0"/>
    <n v="1"/>
    <x v="0"/>
    <x v="0"/>
    <n v="2"/>
    <x v="0"/>
    <n v="0.14046396599104899"/>
    <s v="NA"/>
    <n v="1.7505655582662401"/>
    <x v="0"/>
    <x v="0"/>
    <x v="0"/>
    <x v="0"/>
    <x v="0"/>
    <x v="27"/>
    <x v="12"/>
    <x v="0"/>
    <x v="0"/>
    <x v="0"/>
    <x v="0"/>
    <x v="0"/>
    <x v="0"/>
    <x v="0"/>
    <x v="0"/>
    <x v="0"/>
    <x v="0"/>
    <x v="0"/>
    <x v="30"/>
    <x v="0"/>
    <x v="0"/>
    <n v="25.6862807242636"/>
    <n v="0.3"/>
  </r>
  <r>
    <n v="21050"/>
    <x v="0"/>
    <x v="46"/>
    <x v="23"/>
    <x v="2"/>
    <s v="72VC"/>
    <x v="9"/>
    <n v="3"/>
    <n v="4"/>
    <n v="5"/>
    <n v="60"/>
    <x v="0"/>
    <s v="NA"/>
    <s v="NA"/>
    <s v="NA"/>
    <s v="NA"/>
    <s v="NA"/>
    <n v="-1.7"/>
    <s v="NA"/>
    <s v="NA"/>
    <s v="NA"/>
    <n v="-1.5"/>
    <s v="NA"/>
    <n v="-1.6"/>
    <s v="NA"/>
    <s v="NA"/>
    <s v="NA"/>
    <s v="NA"/>
    <n v="-0.1"/>
    <s v="NA"/>
    <s v="NA"/>
    <s v="NA"/>
    <s v="NA"/>
    <n v="1"/>
    <n v="1"/>
    <n v="1"/>
    <n v="0"/>
    <n v="0"/>
    <n v="0"/>
    <x v="1"/>
    <x v="0"/>
    <n v="4"/>
    <x v="1"/>
    <n v="0.14046396599104899"/>
    <s v="NA"/>
    <n v="2.42054945299139"/>
    <x v="0"/>
    <x v="0"/>
    <x v="0"/>
    <x v="0"/>
    <x v="0"/>
    <x v="28"/>
    <x v="0"/>
    <x v="0"/>
    <x v="0"/>
    <x v="13"/>
    <x v="0"/>
    <x v="10"/>
    <x v="0"/>
    <x v="0"/>
    <x v="0"/>
    <x v="0"/>
    <x v="9"/>
    <x v="0"/>
    <x v="14"/>
    <x v="0"/>
    <x v="0"/>
    <n v="0.87102249879075"/>
    <n v="-4.9000000000000004"/>
  </r>
  <r>
    <n v="21051"/>
    <x v="0"/>
    <x v="47"/>
    <x v="24"/>
    <x v="2"/>
    <s v="0|00L_MX7S"/>
    <x v="7"/>
    <n v="3"/>
    <n v="3"/>
    <n v="3"/>
    <n v="100"/>
    <x v="0"/>
    <s v="NA"/>
    <s v="NA"/>
    <s v="NA"/>
    <s v="NA"/>
    <s v="NA"/>
    <n v="-0.9"/>
    <s v="NA"/>
    <s v="NA"/>
    <s v="NA"/>
    <s v="NA"/>
    <s v="NA"/>
    <s v="NA"/>
    <s v="NA"/>
    <s v="NA"/>
    <s v="NA"/>
    <s v="NA"/>
    <s v="NA"/>
    <s v="NA"/>
    <s v="NA"/>
    <s v="NA"/>
    <s v="NA"/>
    <n v="1"/>
    <n v="0"/>
    <n v="0"/>
    <n v="0"/>
    <n v="0"/>
    <n v="0"/>
    <x v="0"/>
    <x v="0"/>
    <n v="1"/>
    <x v="0"/>
    <n v="1.5285784534320099"/>
    <s v="NA"/>
    <n v="-0.48271409081760103"/>
    <x v="0"/>
    <x v="0"/>
    <x v="0"/>
    <x v="0"/>
    <x v="0"/>
    <x v="29"/>
    <x v="0"/>
    <x v="0"/>
    <x v="0"/>
    <x v="0"/>
    <x v="0"/>
    <x v="0"/>
    <x v="0"/>
    <x v="0"/>
    <x v="0"/>
    <x v="0"/>
    <x v="0"/>
    <x v="0"/>
    <x v="14"/>
    <x v="0"/>
    <x v="0"/>
    <n v="0.12589254117941701"/>
    <n v="-0.9"/>
  </r>
  <r>
    <n v="21052"/>
    <x v="0"/>
    <x v="48"/>
    <x v="25"/>
    <x v="2"/>
    <s v="CX9V_F102"/>
    <x v="4"/>
    <n v="2"/>
    <n v="2"/>
    <n v="3"/>
    <n v="67"/>
    <x v="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1.7"/>
    <s v="NA"/>
    <s v="NA"/>
    <s v="NA"/>
    <n v="0"/>
    <n v="0"/>
    <n v="0"/>
    <n v="0"/>
    <n v="0"/>
    <n v="1"/>
    <x v="0"/>
    <x v="0"/>
    <n v="1"/>
    <x v="0"/>
    <n v="0.38338400129321698"/>
    <s v="NA"/>
    <n v="-0.706042055725985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11"/>
    <x v="0"/>
    <x v="0"/>
    <n v="50.118723362727202"/>
    <n v="1.7"/>
  </r>
  <r>
    <n v="21053"/>
    <x v="0"/>
    <x v="49"/>
    <x v="26"/>
    <x v="2"/>
    <s v="C9AM"/>
    <x v="7"/>
    <n v="2"/>
    <n v="3"/>
    <n v="4"/>
    <n v="50"/>
    <x v="0"/>
    <s v="NA"/>
    <s v="NA"/>
    <n v="-2.2999999999999998"/>
    <s v="NA"/>
    <s v="NA"/>
    <n v="-2.2999999999999998"/>
    <n v="-2.2999999999999998"/>
    <s v="NA"/>
    <s v="NA"/>
    <s v="NA"/>
    <s v="NA"/>
    <s v="NA"/>
    <s v="NA"/>
    <s v="NA"/>
    <s v="NA"/>
    <s v="NA"/>
    <s v="NA"/>
    <n v="-0.1"/>
    <s v="NA"/>
    <s v="NA"/>
    <s v="NA"/>
    <n v="1"/>
    <n v="0"/>
    <n v="0"/>
    <n v="0"/>
    <n v="0"/>
    <n v="1"/>
    <x v="0"/>
    <x v="0"/>
    <n v="2"/>
    <x v="0"/>
    <n v="-0.20656465586919001"/>
    <s v="NA"/>
    <n v="-0.48271409081760103"/>
    <x v="0"/>
    <x v="0"/>
    <x v="6"/>
    <x v="0"/>
    <x v="0"/>
    <x v="30"/>
    <x v="13"/>
    <x v="0"/>
    <x v="0"/>
    <x v="0"/>
    <x v="0"/>
    <x v="0"/>
    <x v="0"/>
    <x v="0"/>
    <x v="0"/>
    <x v="0"/>
    <x v="0"/>
    <x v="0"/>
    <x v="31"/>
    <x v="0"/>
    <x v="0"/>
    <n v="0.80936385173309999"/>
    <n v="-7"/>
  </r>
  <r>
    <n v="21055"/>
    <x v="0"/>
    <x v="50"/>
    <x v="28"/>
    <x v="2"/>
    <s v="NA8A"/>
    <x v="7"/>
    <n v="4"/>
    <n v="4"/>
    <n v="4"/>
    <n v="100"/>
    <x v="0"/>
    <s v="NA"/>
    <s v="NA"/>
    <s v="NA"/>
    <s v="NA"/>
    <s v="NA"/>
    <n v="-1.4"/>
    <s v="NA"/>
    <s v="NA"/>
    <s v="NA"/>
    <s v="NA"/>
    <s v="NA"/>
    <s v="NA"/>
    <s v="NA"/>
    <s v="NA"/>
    <s v="NA"/>
    <s v="NA"/>
    <s v="NA"/>
    <n v="0.9"/>
    <s v="NA"/>
    <s v="NA"/>
    <s v="NA"/>
    <n v="1"/>
    <n v="0"/>
    <n v="0"/>
    <n v="0"/>
    <n v="0"/>
    <n v="1"/>
    <x v="0"/>
    <x v="0"/>
    <n v="2"/>
    <x v="0"/>
    <n v="1.5285784534320099"/>
    <s v="NA"/>
    <n v="-0.48271409081760103"/>
    <x v="0"/>
    <x v="0"/>
    <x v="0"/>
    <x v="0"/>
    <x v="0"/>
    <x v="17"/>
    <x v="0"/>
    <x v="0"/>
    <x v="0"/>
    <x v="0"/>
    <x v="0"/>
    <x v="0"/>
    <x v="0"/>
    <x v="0"/>
    <x v="0"/>
    <x v="0"/>
    <x v="0"/>
    <x v="0"/>
    <x v="32"/>
    <x v="0"/>
    <x v="0"/>
    <n v="7.9830930642981697"/>
    <n v="-0.5"/>
  </r>
  <r>
    <n v="21056"/>
    <x v="0"/>
    <x v="51"/>
    <x v="29"/>
    <x v="2"/>
    <s v="891V"/>
    <x v="11"/>
    <n v="3"/>
    <n v="3"/>
    <n v="5"/>
    <n v="60"/>
    <x v="0"/>
    <s v="NA"/>
    <s v="NA"/>
    <s v="NA"/>
    <s v="NA"/>
    <s v="NA"/>
    <n v="-1.8"/>
    <s v="NA"/>
    <s v="NA"/>
    <s v="NA"/>
    <s v="NA"/>
    <s v="NA"/>
    <s v="NA"/>
    <s v="NA"/>
    <s v="NA"/>
    <s v="NA"/>
    <n v="-1.4"/>
    <s v="NA"/>
    <n v="1.3"/>
    <s v="NA"/>
    <s v="NA"/>
    <s v="NA"/>
    <n v="1"/>
    <n v="0"/>
    <n v="0"/>
    <n v="0"/>
    <n v="1"/>
    <n v="1"/>
    <x v="0"/>
    <x v="0"/>
    <n v="3"/>
    <x v="1"/>
    <n v="0.14046396599104899"/>
    <s v="NA"/>
    <n v="0.85725369863270295"/>
    <x v="0"/>
    <x v="0"/>
    <x v="0"/>
    <x v="0"/>
    <x v="0"/>
    <x v="31"/>
    <x v="0"/>
    <x v="0"/>
    <x v="0"/>
    <x v="0"/>
    <x v="0"/>
    <x v="0"/>
    <x v="0"/>
    <x v="0"/>
    <x v="0"/>
    <x v="8"/>
    <x v="0"/>
    <x v="0"/>
    <x v="33"/>
    <x v="0"/>
    <x v="0"/>
    <n v="20.008282798668802"/>
    <n v="-1.9"/>
  </r>
  <r>
    <n v="21230"/>
    <x v="1"/>
    <x v="52"/>
    <x v="3"/>
    <x v="1"/>
    <s v="A09X"/>
    <x v="12"/>
    <n v="4"/>
    <n v="4"/>
    <n v="5"/>
    <n v="80"/>
    <x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.9"/>
    <s v="NA"/>
    <s v="NA"/>
    <s v="NA"/>
    <n v="0"/>
    <n v="0"/>
    <n v="0"/>
    <n v="0"/>
    <n v="0"/>
    <n v="1"/>
    <x v="0"/>
    <x v="0"/>
    <n v="1"/>
    <x v="0"/>
    <n v="0.83452120971152799"/>
    <n v="-0.71121196486504301"/>
    <n v="0.63392573372431904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32"/>
    <x v="0"/>
    <x v="0"/>
    <n v="7.9432823472428202"/>
    <n v="0.9"/>
  </r>
  <r>
    <n v="21231"/>
    <x v="1"/>
    <x v="53"/>
    <x v="2"/>
    <x v="1"/>
    <s v="C98A"/>
    <x v="2"/>
    <n v="3"/>
    <n v="3"/>
    <n v="3"/>
    <n v="100"/>
    <x v="2"/>
    <s v="NA"/>
    <s v="NA"/>
    <n v="-3.2"/>
    <n v="-1.9"/>
    <n v="-4.2"/>
    <n v="-3.1"/>
    <n v="-1"/>
    <s v="NA"/>
    <s v="NA"/>
    <s v="NA"/>
    <n v="-3"/>
    <s v="NA"/>
    <s v="NA"/>
    <s v="NA"/>
    <n v="-2.4"/>
    <s v="NA"/>
    <s v="NA"/>
    <n v="-1.3"/>
    <s v="NA"/>
    <s v="NA"/>
    <s v="NA"/>
    <n v="1"/>
    <n v="0"/>
    <n v="1"/>
    <n v="0"/>
    <n v="1"/>
    <n v="1"/>
    <x v="0"/>
    <x v="0"/>
    <n v="4"/>
    <x v="1"/>
    <n v="1.5285784534320099"/>
    <n v="-1.18819828996463"/>
    <s v="NA"/>
    <x v="0"/>
    <x v="0"/>
    <x v="7"/>
    <x v="10"/>
    <x v="2"/>
    <x v="32"/>
    <x v="14"/>
    <x v="0"/>
    <x v="0"/>
    <x v="0"/>
    <x v="9"/>
    <x v="0"/>
    <x v="0"/>
    <x v="0"/>
    <x v="2"/>
    <x v="0"/>
    <x v="0"/>
    <x v="0"/>
    <x v="34"/>
    <x v="0"/>
    <x v="0"/>
    <n v="0.16917743049985601"/>
    <n v="-20.100000000000001"/>
  </r>
  <r>
    <n v="21232"/>
    <x v="1"/>
    <x v="54"/>
    <x v="8"/>
    <x v="1"/>
    <s v="0|05W"/>
    <x v="0"/>
    <n v="1"/>
    <n v="1"/>
    <n v="3"/>
    <n v="33"/>
    <x v="2"/>
    <n v="-4.4000000000000004"/>
    <n v="-4.0999999999999996"/>
    <s v="NA"/>
    <n v="-2.6"/>
    <s v="NA"/>
    <n v="-5"/>
    <n v="-1.5"/>
    <s v="NA"/>
    <s v="NA"/>
    <s v="NA"/>
    <n v="-3.3"/>
    <n v="-3.7"/>
    <s v="NA"/>
    <s v="NA"/>
    <n v="-2.2999999999999998"/>
    <s v="NA"/>
    <s v="NA"/>
    <n v="-2.1"/>
    <s v="NA"/>
    <s v="NA"/>
    <s v="NA"/>
    <n v="1"/>
    <n v="0"/>
    <n v="1"/>
    <n v="0"/>
    <n v="1"/>
    <n v="1"/>
    <x v="0"/>
    <x v="0"/>
    <n v="4"/>
    <x v="1"/>
    <n v="-0.796513313031597"/>
    <n v="-1.18819828996463"/>
    <n v="-0.92937002063436902"/>
    <x v="9"/>
    <x v="4"/>
    <x v="0"/>
    <x v="11"/>
    <x v="0"/>
    <x v="33"/>
    <x v="15"/>
    <x v="0"/>
    <x v="0"/>
    <x v="0"/>
    <x v="10"/>
    <x v="11"/>
    <x v="0"/>
    <x v="0"/>
    <x v="9"/>
    <x v="0"/>
    <x v="0"/>
    <x v="0"/>
    <x v="17"/>
    <x v="0"/>
    <x v="0"/>
    <n v="4.7919774722360899E-2"/>
    <n v="-29"/>
  </r>
  <r>
    <n v="21233"/>
    <x v="1"/>
    <x v="55"/>
    <x v="21"/>
    <x v="1"/>
    <s v="CX7V"/>
    <x v="7"/>
    <n v="1"/>
    <n v="1"/>
    <n v="4"/>
    <n v="25"/>
    <x v="3"/>
    <s v="NA"/>
    <s v="NA"/>
    <s v="NA"/>
    <s v="NA"/>
    <s v="NA"/>
    <s v="NA"/>
    <s v="NA"/>
    <s v="NA"/>
    <s v="NA"/>
    <s v="NA"/>
    <s v="NA"/>
    <n v="-0.6"/>
    <s v="NA"/>
    <s v="NA"/>
    <s v="NA"/>
    <s v="NA"/>
    <s v="NA"/>
    <n v="0.1"/>
    <s v="NA"/>
    <s v="NA"/>
    <s v="NA"/>
    <n v="0"/>
    <n v="0"/>
    <n v="1"/>
    <n v="0"/>
    <n v="0"/>
    <n v="1"/>
    <x v="0"/>
    <x v="0"/>
    <n v="2"/>
    <x v="0"/>
    <n v="-1.07413621051979"/>
    <n v="1.19671616416297"/>
    <n v="-0.48271409081760103"/>
    <x v="0"/>
    <x v="0"/>
    <x v="0"/>
    <x v="0"/>
    <x v="0"/>
    <x v="8"/>
    <x v="0"/>
    <x v="0"/>
    <x v="0"/>
    <x v="0"/>
    <x v="0"/>
    <x v="12"/>
    <x v="0"/>
    <x v="0"/>
    <x v="0"/>
    <x v="0"/>
    <x v="0"/>
    <x v="0"/>
    <x v="35"/>
    <x v="0"/>
    <x v="0"/>
    <n v="1.51011405494513"/>
    <n v="-0.5"/>
  </r>
  <r>
    <n v="21234"/>
    <x v="1"/>
    <x v="56"/>
    <x v="10"/>
    <x v="1"/>
    <s v="NA"/>
    <x v="2"/>
    <n v="0"/>
    <n v="0"/>
    <n v="4"/>
    <n v="0"/>
    <x v="0"/>
    <s v="NA"/>
    <s v="NA"/>
    <n v="-1.4"/>
    <n v="-2.8"/>
    <s v="NA"/>
    <n v="-2.4"/>
    <n v="-1.3"/>
    <s v="NA"/>
    <s v="NA"/>
    <n v="-3.4"/>
    <n v="-2.9"/>
    <s v="NA"/>
    <s v="NA"/>
    <s v="NA"/>
    <n v="-1.8"/>
    <s v="NA"/>
    <s v="NA"/>
    <n v="-2.6"/>
    <s v="NA"/>
    <s v="NA"/>
    <s v="NA"/>
    <n v="1"/>
    <n v="1"/>
    <n v="1"/>
    <n v="0"/>
    <n v="1"/>
    <n v="1"/>
    <x v="0"/>
    <x v="0"/>
    <n v="5"/>
    <x v="1"/>
    <n v="-1.94170776517039"/>
    <s v="NA"/>
    <s v="NA"/>
    <x v="0"/>
    <x v="0"/>
    <x v="8"/>
    <x v="12"/>
    <x v="0"/>
    <x v="34"/>
    <x v="16"/>
    <x v="0"/>
    <x v="0"/>
    <x v="8"/>
    <x v="11"/>
    <x v="0"/>
    <x v="0"/>
    <x v="0"/>
    <x v="10"/>
    <x v="0"/>
    <x v="0"/>
    <x v="0"/>
    <x v="20"/>
    <x v="0"/>
    <x v="0"/>
    <n v="0.11551325625454099"/>
    <n v="-18.600000000000001"/>
  </r>
  <r>
    <n v="21235"/>
    <x v="1"/>
    <x v="57"/>
    <x v="9"/>
    <x v="1"/>
    <s v="N14X"/>
    <x v="3"/>
    <n v="3"/>
    <n v="3"/>
    <n v="5"/>
    <n v="60"/>
    <x v="4"/>
    <s v="NA"/>
    <s v="NA"/>
    <s v="NA"/>
    <s v="NA"/>
    <s v="NA"/>
    <s v="NA"/>
    <n v="-0.8"/>
    <s v="NA"/>
    <s v="NA"/>
    <s v="NA"/>
    <s v="NA"/>
    <s v="NA"/>
    <s v="NA"/>
    <s v="NA"/>
    <s v="NA"/>
    <s v="NA"/>
    <s v="NA"/>
    <n v="1.6"/>
    <s v="NA"/>
    <s v="NA"/>
    <s v="NA"/>
    <n v="1"/>
    <n v="0"/>
    <n v="0"/>
    <n v="0"/>
    <n v="0"/>
    <n v="1"/>
    <x v="0"/>
    <x v="0"/>
    <n v="2"/>
    <x v="0"/>
    <n v="0.14046396599104899"/>
    <n v="1.19671427531223"/>
    <n v="0.41059776881593502"/>
    <x v="0"/>
    <x v="0"/>
    <x v="0"/>
    <x v="0"/>
    <x v="0"/>
    <x v="8"/>
    <x v="17"/>
    <x v="0"/>
    <x v="0"/>
    <x v="0"/>
    <x v="0"/>
    <x v="0"/>
    <x v="0"/>
    <x v="0"/>
    <x v="0"/>
    <x v="0"/>
    <x v="0"/>
    <x v="0"/>
    <x v="36"/>
    <x v="0"/>
    <x v="0"/>
    <n v="39.9692063745958"/>
    <n v="0.8"/>
  </r>
  <r>
    <n v="21236"/>
    <x v="1"/>
    <x v="58"/>
    <x v="26"/>
    <x v="1"/>
    <s v="C9AM_7326"/>
    <x v="13"/>
    <n v="3"/>
    <n v="5"/>
    <n v="5"/>
    <n v="60"/>
    <x v="5"/>
    <s v="NA"/>
    <n v="-0.6"/>
    <s v="NA"/>
    <n v="-1.4"/>
    <s v="NA"/>
    <s v="NA"/>
    <n v="-1.2"/>
    <s v="NA"/>
    <s v="NA"/>
    <s v="NA"/>
    <s v="NA"/>
    <n v="-0.8"/>
    <s v="NA"/>
    <s v="NA"/>
    <s v="NA"/>
    <s v="NA"/>
    <s v="NA"/>
    <n v="1.8"/>
    <s v="NA"/>
    <s v="NA"/>
    <s v="NA"/>
    <n v="1"/>
    <n v="0"/>
    <n v="1"/>
    <n v="0"/>
    <n v="0"/>
    <n v="1"/>
    <x v="0"/>
    <x v="0"/>
    <n v="3"/>
    <x v="1"/>
    <n v="0.14046396599104899"/>
    <n v="-0.47272451179588498"/>
    <n v="1.1922456459952799"/>
    <x v="0"/>
    <x v="5"/>
    <x v="0"/>
    <x v="13"/>
    <x v="0"/>
    <x v="8"/>
    <x v="18"/>
    <x v="0"/>
    <x v="0"/>
    <x v="0"/>
    <x v="0"/>
    <x v="13"/>
    <x v="0"/>
    <x v="0"/>
    <x v="0"/>
    <x v="0"/>
    <x v="0"/>
    <x v="0"/>
    <x v="37"/>
    <x v="0"/>
    <x v="0"/>
    <n v="63.608318861919798"/>
    <n v="-2.2000000000000002"/>
  </r>
  <r>
    <n v="21237"/>
    <x v="1"/>
    <x v="59"/>
    <x v="14"/>
    <x v="0"/>
    <s v="NA"/>
    <x v="2"/>
    <n v="2"/>
    <n v="4"/>
    <n v="5"/>
    <n v="40"/>
    <x v="0"/>
    <s v="NA"/>
    <s v="NA"/>
    <s v="NA"/>
    <s v="NA"/>
    <s v="NA"/>
    <s v="NA"/>
    <n v="-0.6"/>
    <s v="NA"/>
    <s v="NA"/>
    <s v="NA"/>
    <n v="-1.7"/>
    <s v="NA"/>
    <s v="NA"/>
    <s v="NA"/>
    <s v="NA"/>
    <s v="NA"/>
    <s v="NA"/>
    <n v="0.3"/>
    <s v="NA"/>
    <s v="NA"/>
    <s v="NA"/>
    <n v="1"/>
    <n v="0"/>
    <n v="1"/>
    <n v="0"/>
    <n v="0"/>
    <n v="1"/>
    <x v="0"/>
    <x v="0"/>
    <n v="3"/>
    <x v="1"/>
    <n v="-0.55359327772942901"/>
    <s v="NA"/>
    <s v="NA"/>
    <x v="0"/>
    <x v="0"/>
    <x v="0"/>
    <x v="0"/>
    <x v="0"/>
    <x v="8"/>
    <x v="19"/>
    <x v="0"/>
    <x v="0"/>
    <x v="0"/>
    <x v="12"/>
    <x v="0"/>
    <x v="0"/>
    <x v="0"/>
    <x v="0"/>
    <x v="0"/>
    <x v="0"/>
    <x v="0"/>
    <x v="38"/>
    <x v="0"/>
    <x v="0"/>
    <n v="2.2664035812695298"/>
    <n v="-2"/>
  </r>
  <r>
    <n v="21238"/>
    <x v="1"/>
    <x v="60"/>
    <x v="30"/>
    <x v="1"/>
    <s v="NA"/>
    <x v="2"/>
    <n v="3"/>
    <n v="3"/>
    <n v="5"/>
    <n v="60"/>
    <x v="0"/>
    <s v="NA"/>
    <s v="NA"/>
    <s v="NA"/>
    <s v="NA"/>
    <s v="NA"/>
    <s v="NA"/>
    <n v="-1.2"/>
    <s v="NA"/>
    <s v="NA"/>
    <s v="NA"/>
    <s v="NA"/>
    <s v="NA"/>
    <s v="NA"/>
    <s v="NA"/>
    <s v="NA"/>
    <s v="NA"/>
    <s v="NA"/>
    <n v="1.3"/>
    <s v="NA"/>
    <s v="NA"/>
    <s v="NA"/>
    <n v="1"/>
    <n v="0"/>
    <n v="0"/>
    <n v="0"/>
    <n v="0"/>
    <n v="1"/>
    <x v="0"/>
    <x v="0"/>
    <n v="2"/>
    <x v="0"/>
    <n v="0.14046396599104899"/>
    <s v="NA"/>
    <s v="NA"/>
    <x v="0"/>
    <x v="0"/>
    <x v="0"/>
    <x v="0"/>
    <x v="0"/>
    <x v="8"/>
    <x v="18"/>
    <x v="0"/>
    <x v="0"/>
    <x v="0"/>
    <x v="0"/>
    <x v="0"/>
    <x v="0"/>
    <x v="0"/>
    <x v="0"/>
    <x v="0"/>
    <x v="0"/>
    <x v="0"/>
    <x v="33"/>
    <x v="0"/>
    <x v="0"/>
    <n v="20.015718884136799"/>
    <n v="0.1"/>
  </r>
  <r>
    <n v="21239"/>
    <x v="1"/>
    <x v="61"/>
    <x v="7"/>
    <x v="1"/>
    <s v="0|005"/>
    <x v="0"/>
    <n v="3"/>
    <n v="3"/>
    <n v="4"/>
    <n v="75"/>
    <x v="2"/>
    <s v="NA"/>
    <s v="NA"/>
    <s v="NA"/>
    <s v="NA"/>
    <s v="NA"/>
    <s v="NA"/>
    <n v="-1.8"/>
    <s v="NA"/>
    <s v="NA"/>
    <n v="-2"/>
    <n v="-3.3"/>
    <s v="NA"/>
    <s v="NA"/>
    <s v="NA"/>
    <n v="-1.8"/>
    <s v="NA"/>
    <s v="NA"/>
    <n v="-0.6"/>
    <s v="NA"/>
    <s v="NA"/>
    <s v="NA"/>
    <n v="1"/>
    <n v="1"/>
    <n v="1"/>
    <n v="0"/>
    <n v="1"/>
    <n v="1"/>
    <x v="0"/>
    <x v="0"/>
    <n v="5"/>
    <x v="1"/>
    <n v="0.66100689878140895"/>
    <n v="-1.18819828996463"/>
    <n v="-0.92937002063436902"/>
    <x v="0"/>
    <x v="0"/>
    <x v="0"/>
    <x v="0"/>
    <x v="0"/>
    <x v="8"/>
    <x v="20"/>
    <x v="0"/>
    <x v="0"/>
    <x v="14"/>
    <x v="10"/>
    <x v="0"/>
    <x v="0"/>
    <x v="0"/>
    <x v="10"/>
    <x v="0"/>
    <x v="0"/>
    <x v="0"/>
    <x v="39"/>
    <x v="0"/>
    <x v="0"/>
    <n v="0.29338769423380801"/>
    <n v="-9.5"/>
  </r>
  <r>
    <n v="21240"/>
    <x v="1"/>
    <x v="62"/>
    <x v="15"/>
    <x v="1"/>
    <s v="F3C0_0|05M"/>
    <x v="4"/>
    <n v="3"/>
    <n v="4"/>
    <n v="4"/>
    <n v="75"/>
    <x v="6"/>
    <s v="NA"/>
    <n v="0.3"/>
    <n v="-1.5"/>
    <s v="NA"/>
    <s v="NA"/>
    <s v="NA"/>
    <s v="NA"/>
    <s v="NA"/>
    <s v="NA"/>
    <s v="NA"/>
    <s v="NA"/>
    <s v="NA"/>
    <s v="NA"/>
    <s v="NA"/>
    <s v="NA"/>
    <s v="NA"/>
    <s v="NA"/>
    <n v="-0.4"/>
    <s v="NA"/>
    <s v="NA"/>
    <s v="NA"/>
    <n v="1"/>
    <n v="0"/>
    <n v="0"/>
    <n v="0"/>
    <n v="0"/>
    <n v="1"/>
    <x v="0"/>
    <x v="0"/>
    <n v="2"/>
    <x v="0"/>
    <n v="0.66100689878140895"/>
    <n v="-0.23423327243956901"/>
    <n v="-0.706042055725985"/>
    <x v="0"/>
    <x v="6"/>
    <x v="9"/>
    <x v="0"/>
    <x v="0"/>
    <x v="8"/>
    <x v="0"/>
    <x v="0"/>
    <x v="0"/>
    <x v="0"/>
    <x v="0"/>
    <x v="0"/>
    <x v="0"/>
    <x v="0"/>
    <x v="0"/>
    <x v="0"/>
    <x v="0"/>
    <x v="0"/>
    <x v="18"/>
    <x v="0"/>
    <x v="0"/>
    <n v="2.4249922621240598"/>
    <n v="-1.6"/>
  </r>
  <r>
    <n v="21241"/>
    <x v="1"/>
    <x v="63"/>
    <x v="25"/>
    <x v="1"/>
    <s v="CX9V_F102"/>
    <x v="7"/>
    <n v="2"/>
    <n v="3"/>
    <n v="4"/>
    <n v="50"/>
    <x v="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-1.6"/>
    <s v="NA"/>
    <s v="NA"/>
    <s v="NA"/>
    <n v="0"/>
    <n v="0"/>
    <n v="0"/>
    <n v="0"/>
    <n v="0"/>
    <n v="1"/>
    <x v="0"/>
    <x v="0"/>
    <n v="1"/>
    <x v="0"/>
    <n v="-0.20656465586919001"/>
    <n v="0.48124049714348999"/>
    <n v="-0.48271409081760103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1"/>
    <x v="0"/>
    <x v="0"/>
    <n v="2.5118864315095801E-2"/>
    <n v="-1.6"/>
  </r>
  <r>
    <n v="21242"/>
    <x v="1"/>
    <x v="64"/>
    <x v="6"/>
    <x v="1"/>
    <s v="CXW3"/>
    <x v="7"/>
    <n v="2"/>
    <n v="2"/>
    <n v="5"/>
    <n v="40"/>
    <x v="8"/>
    <s v="NA"/>
    <s v="NA"/>
    <n v="-1.5"/>
    <n v="-0.8"/>
    <s v="NA"/>
    <n v="-1.6"/>
    <s v="NA"/>
    <s v="NA"/>
    <s v="NA"/>
    <s v="NA"/>
    <n v="-1.7"/>
    <s v="NA"/>
    <s v="NA"/>
    <s v="NA"/>
    <s v="NA"/>
    <s v="NA"/>
    <s v="NA"/>
    <n v="0.1"/>
    <s v="NA"/>
    <s v="NA"/>
    <s v="NA"/>
    <n v="1"/>
    <n v="0"/>
    <n v="1"/>
    <n v="0"/>
    <n v="0"/>
    <n v="1"/>
    <x v="0"/>
    <x v="0"/>
    <n v="3"/>
    <x v="1"/>
    <n v="-0.55359327772942901"/>
    <n v="0.71972983906338395"/>
    <n v="-0.48271409081760103"/>
    <x v="0"/>
    <x v="0"/>
    <x v="9"/>
    <x v="14"/>
    <x v="0"/>
    <x v="1"/>
    <x v="0"/>
    <x v="0"/>
    <x v="0"/>
    <x v="0"/>
    <x v="12"/>
    <x v="0"/>
    <x v="0"/>
    <x v="0"/>
    <x v="0"/>
    <x v="0"/>
    <x v="0"/>
    <x v="0"/>
    <x v="35"/>
    <x v="0"/>
    <x v="0"/>
    <n v="1.4941089951067501"/>
    <n v="-5.5"/>
  </r>
  <r>
    <n v="21243"/>
    <x v="1"/>
    <x v="65"/>
    <x v="13"/>
    <x v="0"/>
    <s v="N4N6"/>
    <x v="14"/>
    <n v="2"/>
    <n v="3"/>
    <n v="5"/>
    <n v="40"/>
    <x v="9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1.8"/>
    <s v="NA"/>
    <s v="NA"/>
    <s v="NA"/>
    <n v="0"/>
    <n v="0"/>
    <n v="0"/>
    <n v="0"/>
    <n v="0"/>
    <n v="1"/>
    <x v="0"/>
    <x v="0"/>
    <n v="1"/>
    <x v="0"/>
    <n v="-0.55359327772942901"/>
    <n v="0.24275209964896399"/>
    <n v="-3.6058161000832999E-2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37"/>
    <x v="0"/>
    <x v="0"/>
    <n v="63.0957344480193"/>
    <n v="1.8"/>
  </r>
  <r>
    <n v="21244"/>
    <x v="1"/>
    <x v="66"/>
    <x v="22"/>
    <x v="1"/>
    <s v="842F"/>
    <x v="2"/>
    <n v="2"/>
    <n v="5"/>
    <n v="6"/>
    <n v="33"/>
    <x v="2"/>
    <s v="NA"/>
    <s v="NA"/>
    <s v="NA"/>
    <n v="-2"/>
    <s v="NA"/>
    <s v="NA"/>
    <s v="NA"/>
    <s v="NA"/>
    <s v="NA"/>
    <s v="NA"/>
    <s v="NA"/>
    <s v="NA"/>
    <s v="NA"/>
    <s v="NA"/>
    <s v="NA"/>
    <s v="NA"/>
    <n v="1.8"/>
    <n v="0.7"/>
    <s v="NA"/>
    <s v="NA"/>
    <s v="NA"/>
    <n v="1"/>
    <n v="0"/>
    <n v="0"/>
    <n v="0"/>
    <n v="0"/>
    <n v="1"/>
    <x v="1"/>
    <x v="0"/>
    <n v="3"/>
    <x v="1"/>
    <n v="-0.796513313031597"/>
    <n v="-1.18819828996463"/>
    <s v="NA"/>
    <x v="0"/>
    <x v="0"/>
    <x v="0"/>
    <x v="15"/>
    <x v="0"/>
    <x v="8"/>
    <x v="0"/>
    <x v="0"/>
    <x v="0"/>
    <x v="0"/>
    <x v="0"/>
    <x v="0"/>
    <x v="0"/>
    <x v="0"/>
    <x v="0"/>
    <x v="0"/>
    <x v="10"/>
    <x v="0"/>
    <x v="40"/>
    <x v="0"/>
    <x v="0"/>
    <n v="68.117606784292093"/>
    <n v="0.5"/>
  </r>
  <r>
    <n v="21245"/>
    <x v="1"/>
    <x v="67"/>
    <x v="19"/>
    <x v="1"/>
    <s v="6WMS"/>
    <x v="15"/>
    <n v="3"/>
    <n v="3"/>
    <n v="5"/>
    <n v="60"/>
    <x v="9"/>
    <s v="NA"/>
    <s v="NA"/>
    <n v="-0.8"/>
    <n v="0.9"/>
    <s v="NA"/>
    <s v="NA"/>
    <s v="NA"/>
    <s v="NA"/>
    <s v="NA"/>
    <s v="NA"/>
    <s v="NA"/>
    <s v="NA"/>
    <s v="NA"/>
    <s v="NA"/>
    <s v="NA"/>
    <s v="NA"/>
    <s v="NA"/>
    <n v="2"/>
    <s v="NA"/>
    <s v="NA"/>
    <s v="NA"/>
    <n v="1"/>
    <n v="0"/>
    <n v="0"/>
    <n v="0"/>
    <n v="0"/>
    <n v="1"/>
    <x v="0"/>
    <x v="0"/>
    <n v="2"/>
    <x v="0"/>
    <n v="0.14046396599104899"/>
    <n v="0.24275209964896399"/>
    <n v="2.6438774178997799"/>
    <x v="0"/>
    <x v="0"/>
    <x v="10"/>
    <x v="16"/>
    <x v="0"/>
    <x v="8"/>
    <x v="0"/>
    <x v="0"/>
    <x v="0"/>
    <x v="0"/>
    <x v="0"/>
    <x v="0"/>
    <x v="0"/>
    <x v="0"/>
    <x v="0"/>
    <x v="0"/>
    <x v="0"/>
    <x v="0"/>
    <x v="41"/>
    <x v="0"/>
    <x v="0"/>
    <n v="108.101771666489"/>
    <n v="2.1"/>
  </r>
  <r>
    <n v="21246"/>
    <x v="1"/>
    <x v="68"/>
    <x v="4"/>
    <x v="1"/>
    <s v="CX94_F104"/>
    <x v="7"/>
    <n v="3"/>
    <n v="3"/>
    <n v="4"/>
    <n v="75"/>
    <x v="10"/>
    <s v="NA"/>
    <s v="NA"/>
    <s v="NA"/>
    <n v="-1"/>
    <s v="NA"/>
    <n v="-1.9"/>
    <n v="-0.8"/>
    <s v="NA"/>
    <s v="NA"/>
    <s v="NA"/>
    <s v="NA"/>
    <s v="NA"/>
    <s v="NA"/>
    <s v="NA"/>
    <s v="NA"/>
    <s v="NA"/>
    <s v="NA"/>
    <n v="0.5"/>
    <s v="NA"/>
    <s v="NA"/>
    <s v="NA"/>
    <n v="1"/>
    <n v="0"/>
    <n v="0"/>
    <n v="0"/>
    <n v="0"/>
    <n v="1"/>
    <x v="0"/>
    <x v="0"/>
    <n v="2"/>
    <x v="0"/>
    <n v="0.66100689878140895"/>
    <n v="0.242749223444433"/>
    <n v="-0.48271409081760103"/>
    <x v="0"/>
    <x v="0"/>
    <x v="0"/>
    <x v="17"/>
    <x v="0"/>
    <x v="35"/>
    <x v="17"/>
    <x v="0"/>
    <x v="0"/>
    <x v="0"/>
    <x v="0"/>
    <x v="0"/>
    <x v="0"/>
    <x v="0"/>
    <x v="0"/>
    <x v="0"/>
    <x v="0"/>
    <x v="0"/>
    <x v="19"/>
    <x v="0"/>
    <x v="0"/>
    <n v="3.4333562335324301"/>
    <n v="-3.2"/>
  </r>
  <r>
    <n v="21247"/>
    <x v="1"/>
    <x v="69"/>
    <x v="20"/>
    <x v="0"/>
    <s v="MX76"/>
    <x v="3"/>
    <n v="4"/>
    <n v="5"/>
    <n v="5"/>
    <n v="80"/>
    <x v="3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.4"/>
    <s v="NA"/>
    <s v="NA"/>
    <s v="NA"/>
    <n v="0"/>
    <n v="0"/>
    <n v="0"/>
    <n v="0"/>
    <n v="0"/>
    <n v="1"/>
    <x v="0"/>
    <x v="0"/>
    <n v="1"/>
    <x v="0"/>
    <n v="0.83452120971152799"/>
    <n v="1.19671616416297"/>
    <n v="0.41059776881593502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42"/>
    <x v="0"/>
    <x v="0"/>
    <n v="2.5118864315095801"/>
    <n v="0.4"/>
  </r>
  <r>
    <n v="21248"/>
    <x v="1"/>
    <x v="70"/>
    <x v="1"/>
    <x v="1"/>
    <s v="N170_0|016"/>
    <x v="8"/>
    <n v="2"/>
    <n v="3"/>
    <n v="4"/>
    <n v="50"/>
    <x v="11"/>
    <s v="NA"/>
    <s v="NA"/>
    <n v="-1.9"/>
    <s v="NA"/>
    <s v="NA"/>
    <s v="NA"/>
    <n v="-1"/>
    <s v="NA"/>
    <s v="NA"/>
    <s v="NA"/>
    <s v="NA"/>
    <s v="NA"/>
    <s v="NA"/>
    <s v="NA"/>
    <s v="NA"/>
    <s v="NA"/>
    <s v="NA"/>
    <n v="-0.4"/>
    <s v="NA"/>
    <s v="NA"/>
    <s v="NA"/>
    <n v="1"/>
    <n v="0"/>
    <n v="0"/>
    <n v="0"/>
    <n v="0"/>
    <n v="1"/>
    <x v="0"/>
    <x v="0"/>
    <n v="2"/>
    <x v="0"/>
    <n v="-0.20656465586919001"/>
    <n v="-0.234233238096828"/>
    <n v="-0.259386125909217"/>
    <x v="0"/>
    <x v="0"/>
    <x v="11"/>
    <x v="0"/>
    <x v="0"/>
    <x v="8"/>
    <x v="14"/>
    <x v="0"/>
    <x v="0"/>
    <x v="0"/>
    <x v="0"/>
    <x v="0"/>
    <x v="0"/>
    <x v="0"/>
    <x v="0"/>
    <x v="0"/>
    <x v="0"/>
    <x v="0"/>
    <x v="18"/>
    <x v="0"/>
    <x v="0"/>
    <n v="0.51069642467143905"/>
    <n v="-3.3"/>
  </r>
  <r>
    <n v="21249"/>
    <x v="1"/>
    <x v="71"/>
    <x v="17"/>
    <x v="1"/>
    <s v="NA"/>
    <x v="2"/>
    <n v="3"/>
    <n v="4"/>
    <n v="4"/>
    <n v="75"/>
    <x v="0"/>
    <s v="NA"/>
    <s v="NA"/>
    <s v="NA"/>
    <s v="NA"/>
    <n v="-0.7"/>
    <s v="NA"/>
    <n v="-0.7"/>
    <s v="NA"/>
    <s v="NA"/>
    <s v="NA"/>
    <s v="NA"/>
    <s v="NA"/>
    <s v="NA"/>
    <s v="NA"/>
    <s v="NA"/>
    <s v="NA"/>
    <s v="NA"/>
    <n v="2.1"/>
    <s v="NA"/>
    <s v="NA"/>
    <s v="NA"/>
    <n v="1"/>
    <n v="0"/>
    <n v="0"/>
    <n v="0"/>
    <n v="0"/>
    <n v="1"/>
    <x v="0"/>
    <x v="0"/>
    <n v="2"/>
    <x v="0"/>
    <n v="0.66100689878140895"/>
    <s v="NA"/>
    <s v="NA"/>
    <x v="0"/>
    <x v="0"/>
    <x v="0"/>
    <x v="0"/>
    <x v="3"/>
    <x v="8"/>
    <x v="21"/>
    <x v="0"/>
    <x v="0"/>
    <x v="0"/>
    <x v="0"/>
    <x v="0"/>
    <x v="0"/>
    <x v="0"/>
    <x v="0"/>
    <x v="0"/>
    <x v="0"/>
    <x v="0"/>
    <x v="43"/>
    <x v="0"/>
    <x v="0"/>
    <n v="126.291593642411"/>
    <n v="0.7"/>
  </r>
  <r>
    <n v="21250"/>
    <x v="1"/>
    <x v="72"/>
    <x v="11"/>
    <x v="1"/>
    <s v="2CA7"/>
    <x v="16"/>
    <n v="0"/>
    <n v="0"/>
    <n v="4"/>
    <n v="0"/>
    <x v="12"/>
    <n v="-2.9"/>
    <n v="-4.7"/>
    <s v="NA"/>
    <n v="-2.6"/>
    <s v="NA"/>
    <n v="-2.6"/>
    <n v="-2.2000000000000002"/>
    <s v="NA"/>
    <s v="NA"/>
    <n v="-2.2000000000000002"/>
    <n v="-3.9"/>
    <n v="-1.2"/>
    <n v="-3.7"/>
    <s v="NA"/>
    <n v="-2.4"/>
    <s v="NA"/>
    <n v="-1.1000000000000001"/>
    <n v="0.1"/>
    <s v="NA"/>
    <s v="NA"/>
    <s v="NA"/>
    <n v="1"/>
    <n v="1"/>
    <n v="1"/>
    <n v="1"/>
    <n v="1"/>
    <n v="1"/>
    <x v="1"/>
    <x v="0"/>
    <n v="7"/>
    <x v="1"/>
    <n v="-1.94170776517039"/>
    <n v="-0.71121574256651598"/>
    <n v="3.0905333477165402"/>
    <x v="3"/>
    <x v="7"/>
    <x v="0"/>
    <x v="11"/>
    <x v="0"/>
    <x v="36"/>
    <x v="22"/>
    <x v="0"/>
    <x v="0"/>
    <x v="15"/>
    <x v="13"/>
    <x v="14"/>
    <x v="4"/>
    <x v="0"/>
    <x v="2"/>
    <x v="0"/>
    <x v="11"/>
    <x v="0"/>
    <x v="35"/>
    <x v="0"/>
    <x v="0"/>
    <n v="1.4246822579803899"/>
    <n v="-29.4"/>
  </r>
  <r>
    <n v="21251"/>
    <x v="1"/>
    <x v="73"/>
    <x v="14"/>
    <x v="1"/>
    <s v="NA"/>
    <x v="2"/>
    <n v="2"/>
    <n v="4"/>
    <n v="5"/>
    <n v="40"/>
    <x v="0"/>
    <s v="NA"/>
    <s v="NA"/>
    <s v="NA"/>
    <s v="NA"/>
    <n v="0.2"/>
    <s v="NA"/>
    <n v="0.1"/>
    <s v="NA"/>
    <s v="NA"/>
    <s v="NA"/>
    <s v="NA"/>
    <s v="NA"/>
    <s v="NA"/>
    <s v="NA"/>
    <s v="NA"/>
    <s v="NA"/>
    <s v="NA"/>
    <n v="0.5"/>
    <n v="0"/>
    <s v="NA"/>
    <s v="NA"/>
    <n v="1"/>
    <n v="0"/>
    <n v="0"/>
    <n v="0"/>
    <n v="0"/>
    <n v="1"/>
    <x v="1"/>
    <x v="0"/>
    <n v="3"/>
    <x v="1"/>
    <n v="-0.55359327772942901"/>
    <s v="NA"/>
    <s v="NA"/>
    <x v="0"/>
    <x v="0"/>
    <x v="0"/>
    <x v="0"/>
    <x v="4"/>
    <x v="8"/>
    <x v="23"/>
    <x v="0"/>
    <x v="0"/>
    <x v="0"/>
    <x v="0"/>
    <x v="0"/>
    <x v="0"/>
    <x v="0"/>
    <x v="0"/>
    <x v="0"/>
    <x v="0"/>
    <x v="5"/>
    <x v="19"/>
    <x v="0"/>
    <x v="0"/>
    <n v="7.0060962644236602"/>
    <n v="0.8"/>
  </r>
  <r>
    <n v="21252"/>
    <x v="1"/>
    <x v="74"/>
    <x v="16"/>
    <x v="1"/>
    <s v="C967"/>
    <x v="8"/>
    <n v="2"/>
    <n v="2"/>
    <n v="3"/>
    <n v="67"/>
    <x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.3"/>
    <s v="NA"/>
    <n v="0.6"/>
    <n v="0"/>
    <n v="0"/>
    <n v="0"/>
    <n v="0"/>
    <n v="0"/>
    <n v="1"/>
    <x v="1"/>
    <x v="1"/>
    <n v="3"/>
    <x v="1"/>
    <n v="0.38338400129321698"/>
    <n v="-0.71121196486504301"/>
    <n v="-0.259386125909217"/>
    <x v="0"/>
    <x v="0"/>
    <x v="0"/>
    <x v="0"/>
    <x v="0"/>
    <x v="8"/>
    <x v="0"/>
    <x v="0"/>
    <x v="0"/>
    <x v="0"/>
    <x v="0"/>
    <x v="0"/>
    <x v="0"/>
    <x v="0"/>
    <x v="0"/>
    <x v="0"/>
    <x v="0"/>
    <x v="6"/>
    <x v="44"/>
    <x v="0"/>
    <x v="3"/>
    <n v="6.9763340205038498"/>
    <n v="0.9"/>
  </r>
  <r>
    <n v="21253"/>
    <x v="1"/>
    <x v="75"/>
    <x v="18"/>
    <x v="1"/>
    <s v="NA"/>
    <x v="2"/>
    <n v="3"/>
    <n v="3"/>
    <n v="4"/>
    <n v="75"/>
    <x v="0"/>
    <s v="NA"/>
    <s v="NA"/>
    <s v="NA"/>
    <s v="NA"/>
    <n v="-0.2"/>
    <s v="NA"/>
    <s v="NA"/>
    <s v="NA"/>
    <s v="NA"/>
    <s v="NA"/>
    <s v="NA"/>
    <s v="NA"/>
    <s v="NA"/>
    <s v="NA"/>
    <s v="NA"/>
    <s v="NA"/>
    <n v="1.9"/>
    <n v="1"/>
    <s v="NA"/>
    <s v="NA"/>
    <s v="NA"/>
    <n v="1"/>
    <n v="0"/>
    <n v="0"/>
    <n v="0"/>
    <n v="0"/>
    <n v="1"/>
    <x v="1"/>
    <x v="0"/>
    <n v="3"/>
    <x v="1"/>
    <n v="0.66100689878140895"/>
    <s v="NA"/>
    <s v="NA"/>
    <x v="0"/>
    <x v="0"/>
    <x v="0"/>
    <x v="0"/>
    <x v="5"/>
    <x v="8"/>
    <x v="0"/>
    <x v="0"/>
    <x v="0"/>
    <x v="0"/>
    <x v="0"/>
    <x v="0"/>
    <x v="0"/>
    <x v="0"/>
    <x v="0"/>
    <x v="0"/>
    <x v="12"/>
    <x v="0"/>
    <x v="45"/>
    <x v="0"/>
    <x v="0"/>
    <n v="90.063780816908306"/>
    <n v="2.7"/>
  </r>
  <r>
    <n v="21254"/>
    <x v="1"/>
    <x v="76"/>
    <x v="12"/>
    <x v="1"/>
    <s v="C982"/>
    <x v="8"/>
    <n v="3"/>
    <n v="4"/>
    <n v="4"/>
    <n v="75"/>
    <x v="1"/>
    <s v="NA"/>
    <n v="-3.6"/>
    <s v="NA"/>
    <n v="-1.9"/>
    <s v="NA"/>
    <n v="-1.8"/>
    <n v="-0.6"/>
    <s v="NA"/>
    <s v="NA"/>
    <n v="-2.4"/>
    <n v="-3"/>
    <n v="-2.5"/>
    <s v="NA"/>
    <s v="NA"/>
    <n v="-1.4"/>
    <s v="NA"/>
    <s v="NA"/>
    <n v="-0.1"/>
    <s v="NA"/>
    <s v="NA"/>
    <s v="NA"/>
    <n v="1"/>
    <n v="1"/>
    <n v="1"/>
    <n v="0"/>
    <n v="1"/>
    <n v="1"/>
    <x v="0"/>
    <x v="0"/>
    <n v="5"/>
    <x v="1"/>
    <n v="0.66100689878140895"/>
    <n v="-0.71121196486504301"/>
    <n v="-0.259386125909217"/>
    <x v="0"/>
    <x v="1"/>
    <x v="0"/>
    <x v="10"/>
    <x v="0"/>
    <x v="31"/>
    <x v="19"/>
    <x v="0"/>
    <x v="0"/>
    <x v="16"/>
    <x v="9"/>
    <x v="15"/>
    <x v="0"/>
    <x v="0"/>
    <x v="11"/>
    <x v="0"/>
    <x v="0"/>
    <x v="0"/>
    <x v="31"/>
    <x v="0"/>
    <x v="0"/>
    <n v="1.122160318982"/>
    <n v="-17.3"/>
  </r>
  <r>
    <n v="21255"/>
    <x v="1"/>
    <x v="77"/>
    <x v="27"/>
    <x v="1"/>
    <s v="NA"/>
    <x v="2"/>
    <n v="3"/>
    <n v="3"/>
    <n v="4"/>
    <n v="75"/>
    <x v="0"/>
    <s v="NA"/>
    <s v="NA"/>
    <s v="NA"/>
    <s v="NA"/>
    <s v="NA"/>
    <s v="NA"/>
    <s v="NA"/>
    <s v="NA"/>
    <s v="NA"/>
    <n v="-0.2"/>
    <s v="NA"/>
    <s v="NA"/>
    <s v="NA"/>
    <s v="NA"/>
    <s v="NA"/>
    <s v="NA"/>
    <s v="NA"/>
    <n v="1.9"/>
    <s v="NA"/>
    <s v="NA"/>
    <s v="NA"/>
    <n v="0"/>
    <n v="1"/>
    <n v="0"/>
    <n v="0"/>
    <n v="0"/>
    <n v="1"/>
    <x v="0"/>
    <x v="0"/>
    <n v="2"/>
    <x v="0"/>
    <n v="0.66100689878140895"/>
    <s v="NA"/>
    <s v="NA"/>
    <x v="0"/>
    <x v="0"/>
    <x v="0"/>
    <x v="0"/>
    <x v="0"/>
    <x v="8"/>
    <x v="0"/>
    <x v="0"/>
    <x v="0"/>
    <x v="17"/>
    <x v="0"/>
    <x v="0"/>
    <x v="0"/>
    <x v="0"/>
    <x v="0"/>
    <x v="0"/>
    <x v="0"/>
    <x v="0"/>
    <x v="46"/>
    <x v="0"/>
    <x v="0"/>
    <n v="80.063780816908306"/>
    <n v="1.7"/>
  </r>
  <r>
    <n v="21256"/>
    <x v="1"/>
    <x v="78"/>
    <x v="24"/>
    <x v="1"/>
    <s v="0|00L"/>
    <x v="0"/>
    <n v="2"/>
    <n v="2"/>
    <n v="3"/>
    <n v="67"/>
    <x v="1"/>
    <s v="NA"/>
    <s v="NA"/>
    <s v="NA"/>
    <s v="NA"/>
    <n v="-0.8"/>
    <s v="NA"/>
    <s v="NA"/>
    <s v="NA"/>
    <s v="NA"/>
    <s v="NA"/>
    <s v="NA"/>
    <s v="NA"/>
    <s v="NA"/>
    <s v="NA"/>
    <s v="NA"/>
    <s v="NA"/>
    <s v="NA"/>
    <n v="0.1"/>
    <s v="NA"/>
    <s v="NA"/>
    <s v="NA"/>
    <n v="1"/>
    <n v="0"/>
    <n v="0"/>
    <n v="0"/>
    <n v="0"/>
    <n v="1"/>
    <x v="0"/>
    <x v="0"/>
    <n v="2"/>
    <x v="0"/>
    <n v="0.38338400129321698"/>
    <n v="-0.71121196486504301"/>
    <n v="-0.92937002063436902"/>
    <x v="0"/>
    <x v="0"/>
    <x v="0"/>
    <x v="0"/>
    <x v="6"/>
    <x v="8"/>
    <x v="0"/>
    <x v="0"/>
    <x v="0"/>
    <x v="0"/>
    <x v="0"/>
    <x v="0"/>
    <x v="0"/>
    <x v="0"/>
    <x v="0"/>
    <x v="0"/>
    <x v="0"/>
    <x v="0"/>
    <x v="35"/>
    <x v="0"/>
    <x v="0"/>
    <n v="1.41741473104028"/>
    <n v="-0.7"/>
  </r>
  <r>
    <n v="21257"/>
    <x v="1"/>
    <x v="79"/>
    <x v="16"/>
    <x v="0"/>
    <s v="C967"/>
    <x v="8"/>
    <n v="2"/>
    <n v="2"/>
    <n v="3"/>
    <n v="67"/>
    <x v="12"/>
    <s v="NA"/>
    <s v="NA"/>
    <s v="NA"/>
    <s v="NA"/>
    <s v="NA"/>
    <s v="NA"/>
    <n v="-2.2999999999999998"/>
    <s v="NA"/>
    <s v="NA"/>
    <n v="-2.4"/>
    <s v="NA"/>
    <s v="NA"/>
    <s v="NA"/>
    <s v="NA"/>
    <s v="NA"/>
    <s v="NA"/>
    <s v="NA"/>
    <n v="-2"/>
    <s v="NA"/>
    <s v="NA"/>
    <s v="NA"/>
    <n v="1"/>
    <n v="1"/>
    <n v="0"/>
    <n v="0"/>
    <n v="0"/>
    <n v="1"/>
    <x v="0"/>
    <x v="0"/>
    <n v="3"/>
    <x v="1"/>
    <n v="0.38338400129321698"/>
    <n v="-0.71121574256651598"/>
    <n v="-0.259386125909217"/>
    <x v="0"/>
    <x v="0"/>
    <x v="0"/>
    <x v="0"/>
    <x v="0"/>
    <x v="8"/>
    <x v="13"/>
    <x v="0"/>
    <x v="0"/>
    <x v="16"/>
    <x v="0"/>
    <x v="0"/>
    <x v="0"/>
    <x v="0"/>
    <x v="0"/>
    <x v="0"/>
    <x v="0"/>
    <x v="0"/>
    <x v="21"/>
    <x v="0"/>
    <x v="0"/>
    <n v="1.8992944041807701E-2"/>
    <n v="-6.7"/>
  </r>
  <r>
    <n v="21258"/>
    <x v="1"/>
    <x v="80"/>
    <x v="6"/>
    <x v="0"/>
    <s v="CXW3"/>
    <x v="7"/>
    <n v="2"/>
    <n v="2"/>
    <n v="5"/>
    <n v="40"/>
    <x v="8"/>
    <s v="NA"/>
    <s v="NA"/>
    <s v="NA"/>
    <s v="NA"/>
    <s v="NA"/>
    <s v="NA"/>
    <s v="NA"/>
    <s v="NA"/>
    <s v="NA"/>
    <s v="NA"/>
    <s v="NA"/>
    <n v="0.2"/>
    <s v="NA"/>
    <s v="NA"/>
    <s v="NA"/>
    <s v="NA"/>
    <s v="NA"/>
    <n v="0.3"/>
    <s v="NA"/>
    <s v="NA"/>
    <s v="NA"/>
    <n v="0"/>
    <n v="0"/>
    <n v="1"/>
    <n v="0"/>
    <n v="0"/>
    <n v="1"/>
    <x v="0"/>
    <x v="0"/>
    <n v="2"/>
    <x v="0"/>
    <n v="-0.55359327772942901"/>
    <n v="0.71972983906338395"/>
    <n v="-0.48271409081760103"/>
    <x v="0"/>
    <x v="0"/>
    <x v="0"/>
    <x v="0"/>
    <x v="0"/>
    <x v="8"/>
    <x v="0"/>
    <x v="0"/>
    <x v="0"/>
    <x v="0"/>
    <x v="0"/>
    <x v="16"/>
    <x v="0"/>
    <x v="0"/>
    <x v="0"/>
    <x v="0"/>
    <x v="0"/>
    <x v="0"/>
    <x v="38"/>
    <x v="0"/>
    <x v="0"/>
    <n v="3.58015550742999"/>
    <n v="0.5"/>
  </r>
  <r>
    <n v="21259"/>
    <x v="1"/>
    <x v="81"/>
    <x v="15"/>
    <x v="0"/>
    <s v="F3C0_0|05M"/>
    <x v="4"/>
    <n v="3"/>
    <n v="4"/>
    <n v="4"/>
    <n v="75"/>
    <x v="6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s v="NA"/>
    <s v="NA"/>
    <s v="NA"/>
    <n v="0"/>
    <n v="0"/>
    <n v="0"/>
    <n v="0"/>
    <n v="0"/>
    <n v="1"/>
    <x v="0"/>
    <x v="0"/>
    <n v="1"/>
    <x v="0"/>
    <n v="0.66100689878140895"/>
    <n v="-0.23423327243956901"/>
    <n v="-0.706042055725985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44"/>
    <x v="0"/>
    <x v="0"/>
    <n v="1"/>
    <n v="0"/>
  </r>
  <r>
    <n v="21260"/>
    <x v="1"/>
    <x v="82"/>
    <x v="19"/>
    <x v="0"/>
    <s v="6WMS"/>
    <x v="15"/>
    <n v="3"/>
    <n v="3"/>
    <n v="5"/>
    <n v="60"/>
    <x v="9"/>
    <s v="NA"/>
    <n v="-3.3"/>
    <n v="-4"/>
    <n v="-4.9000000000000004"/>
    <n v="-3.8"/>
    <n v="-4.9000000000000004"/>
    <n v="-2.6"/>
    <n v="-3.9"/>
    <s v="NA"/>
    <n v="-1.7"/>
    <n v="-3.2"/>
    <n v="-1.5"/>
    <s v="NA"/>
    <s v="NA"/>
    <n v="-3"/>
    <s v="NA"/>
    <s v="NA"/>
    <n v="-2.5"/>
    <n v="-3.3"/>
    <s v="NA"/>
    <s v="NA"/>
    <n v="1"/>
    <n v="1"/>
    <n v="1"/>
    <n v="0"/>
    <n v="1"/>
    <n v="1"/>
    <x v="1"/>
    <x v="0"/>
    <n v="6"/>
    <x v="1"/>
    <n v="0.14046396599104899"/>
    <n v="0.24275209964896399"/>
    <n v="2.6438774178997799"/>
    <x v="0"/>
    <x v="8"/>
    <x v="12"/>
    <x v="3"/>
    <x v="7"/>
    <x v="14"/>
    <x v="24"/>
    <x v="3"/>
    <x v="0"/>
    <x v="18"/>
    <x v="14"/>
    <x v="17"/>
    <x v="0"/>
    <x v="0"/>
    <x v="12"/>
    <x v="0"/>
    <x v="0"/>
    <x v="7"/>
    <x v="47"/>
    <x v="0"/>
    <x v="0"/>
    <n v="6.0292456023446697E-2"/>
    <n v="-42.6"/>
  </r>
  <r>
    <n v="21261"/>
    <x v="1"/>
    <x v="83"/>
    <x v="2"/>
    <x v="0"/>
    <s v="C98A"/>
    <x v="2"/>
    <n v="3"/>
    <n v="3"/>
    <n v="3"/>
    <n v="100"/>
    <x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.7"/>
    <s v="NA"/>
    <s v="NA"/>
    <n v="0.3"/>
    <n v="0"/>
    <n v="0"/>
    <n v="0"/>
    <n v="0"/>
    <n v="0"/>
    <n v="1"/>
    <x v="0"/>
    <x v="1"/>
    <n v="2"/>
    <x v="0"/>
    <n v="1.5285784534320099"/>
    <n v="-1.18819828996463"/>
    <s v="NA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40"/>
    <x v="0"/>
    <x v="4"/>
    <n v="7.0071346512416"/>
    <n v="1"/>
  </r>
  <r>
    <n v="21262"/>
    <x v="1"/>
    <x v="84"/>
    <x v="26"/>
    <x v="0"/>
    <s v="C9AM_7326"/>
    <x v="13"/>
    <n v="3"/>
    <n v="5"/>
    <n v="5"/>
    <n v="60"/>
    <x v="5"/>
    <s v="NA"/>
    <s v="NA"/>
    <s v="NA"/>
    <s v="NA"/>
    <s v="NA"/>
    <s v="NA"/>
    <n v="0"/>
    <s v="NA"/>
    <s v="NA"/>
    <n v="0"/>
    <s v="NA"/>
    <s v="NA"/>
    <s v="NA"/>
    <s v="NA"/>
    <s v="NA"/>
    <s v="NA"/>
    <s v="NA"/>
    <n v="1.9"/>
    <s v="NA"/>
    <s v="NA"/>
    <s v="NA"/>
    <n v="1"/>
    <n v="1"/>
    <n v="0"/>
    <n v="0"/>
    <n v="0"/>
    <n v="1"/>
    <x v="0"/>
    <x v="0"/>
    <n v="3"/>
    <x v="1"/>
    <n v="0.14046396599104899"/>
    <n v="-0.47272451179588498"/>
    <n v="1.1922456459952799"/>
    <x v="0"/>
    <x v="0"/>
    <x v="0"/>
    <x v="0"/>
    <x v="0"/>
    <x v="8"/>
    <x v="25"/>
    <x v="0"/>
    <x v="0"/>
    <x v="19"/>
    <x v="0"/>
    <x v="0"/>
    <x v="0"/>
    <x v="0"/>
    <x v="0"/>
    <x v="0"/>
    <x v="0"/>
    <x v="0"/>
    <x v="46"/>
    <x v="0"/>
    <x v="0"/>
    <n v="81.432823472428097"/>
    <n v="1.9"/>
  </r>
  <r>
    <n v="21263"/>
    <x v="1"/>
    <x v="85"/>
    <x v="1"/>
    <x v="0"/>
    <s v="N170_0|016"/>
    <x v="8"/>
    <n v="2"/>
    <n v="3"/>
    <n v="4"/>
    <n v="50"/>
    <x v="1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1.3"/>
    <s v="NA"/>
    <s v="NA"/>
    <n v="-0.9"/>
    <n v="0"/>
    <n v="0"/>
    <n v="0"/>
    <n v="0"/>
    <n v="0"/>
    <n v="1"/>
    <x v="0"/>
    <x v="1"/>
    <n v="2"/>
    <x v="0"/>
    <n v="-0.20656465586919001"/>
    <n v="-0.234233238096828"/>
    <n v="-0.259386125909217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33"/>
    <x v="0"/>
    <x v="5"/>
    <n v="20.078515690868201"/>
    <n v="0.4"/>
  </r>
  <r>
    <n v="21264"/>
    <x v="1"/>
    <x v="86"/>
    <x v="29"/>
    <x v="1"/>
    <s v="NA"/>
    <x v="2"/>
    <n v="0"/>
    <n v="0"/>
    <n v="1"/>
    <n v="0"/>
    <x v="0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2.1"/>
    <s v="NA"/>
    <s v="NA"/>
    <n v="0.4"/>
    <n v="0"/>
    <n v="0"/>
    <n v="0"/>
    <n v="0"/>
    <n v="0"/>
    <n v="1"/>
    <x v="0"/>
    <x v="1"/>
    <n v="2"/>
    <x v="0"/>
    <n v="-1.94170776517039"/>
    <s v="NA"/>
    <s v="NA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43"/>
    <x v="0"/>
    <x v="6"/>
    <n v="128.40442761092601"/>
    <n v="2.5"/>
  </r>
  <r>
    <n v="21265"/>
    <x v="1"/>
    <x v="87"/>
    <x v="28"/>
    <x v="1"/>
    <s v="NA8A"/>
    <x v="8"/>
    <n v="4"/>
    <n v="4"/>
    <n v="5"/>
    <n v="80"/>
    <x v="13"/>
    <s v="NA"/>
    <s v="NA"/>
    <n v="-1.2"/>
    <s v="NA"/>
    <n v="0.1"/>
    <s v="NA"/>
    <s v="NA"/>
    <s v="NA"/>
    <s v="NA"/>
    <s v="NA"/>
    <s v="NA"/>
    <s v="NA"/>
    <s v="NA"/>
    <s v="NA"/>
    <s v="NA"/>
    <s v="NA"/>
    <s v="NA"/>
    <n v="-0.7"/>
    <s v="NA"/>
    <s v="NA"/>
    <s v="NA"/>
    <n v="1"/>
    <n v="0"/>
    <n v="0"/>
    <n v="0"/>
    <n v="0"/>
    <n v="1"/>
    <x v="0"/>
    <x v="0"/>
    <n v="2"/>
    <x v="0"/>
    <n v="0.83452120971152799"/>
    <n v="2.6276579680914001"/>
    <n v="-0.259386125909217"/>
    <x v="0"/>
    <x v="0"/>
    <x v="13"/>
    <x v="0"/>
    <x v="8"/>
    <x v="8"/>
    <x v="0"/>
    <x v="0"/>
    <x v="0"/>
    <x v="0"/>
    <x v="0"/>
    <x v="0"/>
    <x v="0"/>
    <x v="0"/>
    <x v="0"/>
    <x v="0"/>
    <x v="0"/>
    <x v="0"/>
    <x v="23"/>
    <x v="0"/>
    <x v="0"/>
    <n v="1.52154737773907"/>
    <n v="-1.8"/>
  </r>
  <r>
    <n v="21266"/>
    <x v="1"/>
    <x v="88"/>
    <x v="4"/>
    <x v="0"/>
    <s v="CX94_F104"/>
    <x v="7"/>
    <n v="3"/>
    <n v="3"/>
    <n v="4"/>
    <n v="75"/>
    <x v="10"/>
    <s v="NA"/>
    <s v="NA"/>
    <n v="-1.3"/>
    <s v="NA"/>
    <s v="NA"/>
    <s v="NA"/>
    <n v="-0.4"/>
    <s v="NA"/>
    <s v="NA"/>
    <s v="NA"/>
    <s v="NA"/>
    <s v="NA"/>
    <s v="NA"/>
    <s v="NA"/>
    <s v="NA"/>
    <s v="NA"/>
    <s v="NA"/>
    <n v="2"/>
    <s v="NA"/>
    <s v="NA"/>
    <n v="-0.4"/>
    <n v="1"/>
    <n v="0"/>
    <n v="0"/>
    <n v="0"/>
    <n v="0"/>
    <n v="1"/>
    <x v="0"/>
    <x v="1"/>
    <n v="3"/>
    <x v="1"/>
    <n v="0.66100689878140895"/>
    <n v="0.242749223444433"/>
    <n v="-0.48271409081760103"/>
    <x v="0"/>
    <x v="0"/>
    <x v="14"/>
    <x v="0"/>
    <x v="0"/>
    <x v="8"/>
    <x v="26"/>
    <x v="0"/>
    <x v="0"/>
    <x v="0"/>
    <x v="0"/>
    <x v="0"/>
    <x v="0"/>
    <x v="0"/>
    <x v="0"/>
    <x v="0"/>
    <x v="0"/>
    <x v="0"/>
    <x v="41"/>
    <x v="0"/>
    <x v="7"/>
    <n v="100.84633306447"/>
    <n v="-0.1"/>
  </r>
  <r>
    <n v="21267"/>
    <x v="1"/>
    <x v="89"/>
    <x v="3"/>
    <x v="0"/>
    <s v="A09X"/>
    <x v="12"/>
    <n v="4"/>
    <n v="4"/>
    <n v="5"/>
    <n v="80"/>
    <x v="12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n v="0.7"/>
    <s v="NA"/>
    <s v="NA"/>
    <s v="NA"/>
    <n v="1"/>
    <n v="0"/>
    <n v="0"/>
    <n v="0"/>
    <n v="0"/>
    <n v="1"/>
    <x v="0"/>
    <x v="0"/>
    <n v="2"/>
    <x v="0"/>
    <n v="0.83452120971152799"/>
    <n v="-0.71121574256651598"/>
    <n v="0.63392573372431904"/>
    <x v="0"/>
    <x v="0"/>
    <x v="0"/>
    <x v="0"/>
    <x v="0"/>
    <x v="8"/>
    <x v="25"/>
    <x v="0"/>
    <x v="0"/>
    <x v="0"/>
    <x v="0"/>
    <x v="0"/>
    <x v="0"/>
    <x v="0"/>
    <x v="0"/>
    <x v="0"/>
    <x v="0"/>
    <x v="0"/>
    <x v="40"/>
    <x v="0"/>
    <x v="0"/>
    <n v="6.0118723362727202"/>
    <n v="0.7"/>
  </r>
  <r>
    <n v="21268"/>
    <x v="1"/>
    <x v="90"/>
    <x v="22"/>
    <x v="0"/>
    <s v="842F"/>
    <x v="2"/>
    <n v="2"/>
    <n v="5"/>
    <n v="6"/>
    <n v="33"/>
    <x v="2"/>
    <s v="NA"/>
    <s v="NA"/>
    <n v="-2.2999999999999998"/>
    <s v="NA"/>
    <s v="NA"/>
    <s v="NA"/>
    <n v="-1"/>
    <s v="NA"/>
    <s v="NA"/>
    <n v="-0.9"/>
    <s v="NA"/>
    <n v="-0.8"/>
    <s v="NA"/>
    <s v="NA"/>
    <s v="NA"/>
    <s v="NA"/>
    <s v="NA"/>
    <n v="0.1"/>
    <s v="NA"/>
    <s v="NA"/>
    <s v="NA"/>
    <n v="1"/>
    <n v="1"/>
    <n v="1"/>
    <n v="0"/>
    <n v="0"/>
    <n v="1"/>
    <x v="0"/>
    <x v="0"/>
    <n v="4"/>
    <x v="1"/>
    <n v="-0.796513313031597"/>
    <n v="-1.18819828996463"/>
    <s v="NA"/>
    <x v="0"/>
    <x v="0"/>
    <x v="6"/>
    <x v="0"/>
    <x v="0"/>
    <x v="8"/>
    <x v="14"/>
    <x v="0"/>
    <x v="0"/>
    <x v="20"/>
    <x v="0"/>
    <x v="13"/>
    <x v="0"/>
    <x v="0"/>
    <x v="0"/>
    <x v="0"/>
    <x v="0"/>
    <x v="0"/>
    <x v="35"/>
    <x v="0"/>
    <x v="0"/>
    <n v="1.64831914455597"/>
    <n v="-4.9000000000000004"/>
  </r>
  <r>
    <n v="21269"/>
    <x v="1"/>
    <x v="91"/>
    <x v="9"/>
    <x v="0"/>
    <s v="N14X"/>
    <x v="3"/>
    <n v="3"/>
    <n v="3"/>
    <n v="5"/>
    <n v="60"/>
    <x v="4"/>
    <s v="NA"/>
    <s v="NA"/>
    <n v="-1.3"/>
    <s v="NA"/>
    <s v="NA"/>
    <s v="NA"/>
    <s v="NA"/>
    <s v="NA"/>
    <s v="NA"/>
    <s v="NA"/>
    <s v="NA"/>
    <s v="NA"/>
    <s v="NA"/>
    <s v="NA"/>
    <s v="NA"/>
    <s v="NA"/>
    <s v="NA"/>
    <n v="0.7"/>
    <s v="NA"/>
    <s v="NA"/>
    <s v="NA"/>
    <n v="1"/>
    <n v="0"/>
    <n v="0"/>
    <n v="0"/>
    <n v="0"/>
    <n v="1"/>
    <x v="0"/>
    <x v="0"/>
    <n v="2"/>
    <x v="0"/>
    <n v="0.14046396599104899"/>
    <n v="1.19671427531223"/>
    <n v="0.41059776881593502"/>
    <x v="0"/>
    <x v="0"/>
    <x v="14"/>
    <x v="0"/>
    <x v="0"/>
    <x v="8"/>
    <x v="0"/>
    <x v="0"/>
    <x v="0"/>
    <x v="0"/>
    <x v="0"/>
    <x v="0"/>
    <x v="0"/>
    <x v="0"/>
    <x v="0"/>
    <x v="0"/>
    <x v="0"/>
    <x v="0"/>
    <x v="40"/>
    <x v="0"/>
    <x v="0"/>
    <n v="5.0619910596354503"/>
    <n v="-0.6"/>
  </r>
  <r>
    <n v="21270"/>
    <x v="1"/>
    <x v="92"/>
    <x v="21"/>
    <x v="0"/>
    <s v="CX7V"/>
    <x v="7"/>
    <n v="1"/>
    <n v="1"/>
    <n v="4"/>
    <n v="25"/>
    <x v="3"/>
    <s v="NA"/>
    <n v="-2.4"/>
    <s v="NA"/>
    <n v="-3.1"/>
    <s v="NA"/>
    <s v="NA"/>
    <n v="-2"/>
    <s v="NA"/>
    <s v="NA"/>
    <n v="-2.2999999999999998"/>
    <n v="-3.5"/>
    <s v="NA"/>
    <s v="NA"/>
    <s v="NA"/>
    <s v="NA"/>
    <s v="NA"/>
    <s v="NA"/>
    <n v="-2"/>
    <s v="NA"/>
    <s v="NA"/>
    <s v="NA"/>
    <n v="1"/>
    <n v="1"/>
    <n v="1"/>
    <n v="0"/>
    <n v="0"/>
    <n v="1"/>
    <x v="0"/>
    <x v="0"/>
    <n v="4"/>
    <x v="1"/>
    <n v="-1.07413621051979"/>
    <n v="1.19671616416297"/>
    <n v="-0.48271409081760103"/>
    <x v="0"/>
    <x v="9"/>
    <x v="0"/>
    <x v="18"/>
    <x v="0"/>
    <x v="8"/>
    <x v="1"/>
    <x v="0"/>
    <x v="0"/>
    <x v="21"/>
    <x v="15"/>
    <x v="0"/>
    <x v="0"/>
    <x v="0"/>
    <x v="0"/>
    <x v="0"/>
    <x v="0"/>
    <x v="0"/>
    <x v="21"/>
    <x v="0"/>
    <x v="0"/>
    <n v="3.01035000425488E-2"/>
    <n v="-15.3"/>
  </r>
  <r>
    <n v="21271"/>
    <x v="1"/>
    <x v="93"/>
    <x v="13"/>
    <x v="0"/>
    <s v="N4N6"/>
    <x v="14"/>
    <n v="2"/>
    <n v="3"/>
    <n v="5"/>
    <n v="40"/>
    <x v="9"/>
    <s v="NA"/>
    <s v="NA"/>
    <s v="NA"/>
    <s v="NA"/>
    <s v="NA"/>
    <s v="NA"/>
    <s v="NA"/>
    <s v="NA"/>
    <s v="NA"/>
    <s v="NA"/>
    <s v="NA"/>
    <n v="-1.4"/>
    <s v="NA"/>
    <s v="NA"/>
    <s v="NA"/>
    <s v="NA"/>
    <s v="NA"/>
    <n v="0.9"/>
    <s v="NA"/>
    <s v="NA"/>
    <s v="NA"/>
    <n v="0"/>
    <n v="0"/>
    <n v="1"/>
    <n v="0"/>
    <n v="0"/>
    <n v="1"/>
    <x v="0"/>
    <x v="0"/>
    <n v="2"/>
    <x v="0"/>
    <n v="-0.55359327772942901"/>
    <n v="0.24275209964896399"/>
    <n v="-3.6058161000832999E-2"/>
    <x v="0"/>
    <x v="0"/>
    <x v="0"/>
    <x v="0"/>
    <x v="0"/>
    <x v="8"/>
    <x v="0"/>
    <x v="0"/>
    <x v="0"/>
    <x v="0"/>
    <x v="0"/>
    <x v="18"/>
    <x v="0"/>
    <x v="0"/>
    <x v="0"/>
    <x v="0"/>
    <x v="0"/>
    <x v="0"/>
    <x v="32"/>
    <x v="0"/>
    <x v="0"/>
    <n v="7.9830930642981697"/>
    <n v="-0.5"/>
  </r>
  <r>
    <n v="21272"/>
    <x v="1"/>
    <x v="94"/>
    <x v="27"/>
    <x v="0"/>
    <s v="NA"/>
    <x v="2"/>
    <n v="3"/>
    <n v="3"/>
    <n v="4"/>
    <n v="75"/>
    <x v="0"/>
    <s v="NA"/>
    <s v="NA"/>
    <n v="-3.5"/>
    <n v="-3"/>
    <s v="NA"/>
    <n v="-1.3"/>
    <n v="-1.4"/>
    <s v="NA"/>
    <s v="NA"/>
    <s v="NA"/>
    <n v="-2.2000000000000002"/>
    <n v="-3"/>
    <s v="NA"/>
    <s v="NA"/>
    <n v="-1.8"/>
    <s v="NA"/>
    <n v="-1.4"/>
    <n v="0.3"/>
    <s v="NA"/>
    <s v="NA"/>
    <s v="NA"/>
    <n v="1"/>
    <n v="0"/>
    <n v="1"/>
    <n v="0"/>
    <n v="1"/>
    <n v="1"/>
    <x v="1"/>
    <x v="0"/>
    <n v="5"/>
    <x v="1"/>
    <n v="0.66100689878140895"/>
    <s v="NA"/>
    <s v="NA"/>
    <x v="0"/>
    <x v="0"/>
    <x v="15"/>
    <x v="19"/>
    <x v="0"/>
    <x v="37"/>
    <x v="27"/>
    <x v="0"/>
    <x v="0"/>
    <x v="0"/>
    <x v="4"/>
    <x v="19"/>
    <x v="0"/>
    <x v="0"/>
    <x v="10"/>
    <x v="0"/>
    <x v="13"/>
    <x v="0"/>
    <x v="38"/>
    <x v="0"/>
    <x v="0"/>
    <n v="2.1494772055777398"/>
    <n v="-17.3"/>
  </r>
  <r>
    <n v="21273"/>
    <x v="1"/>
    <x v="95"/>
    <x v="17"/>
    <x v="0"/>
    <s v="NA"/>
    <x v="2"/>
    <n v="3"/>
    <n v="4"/>
    <n v="4"/>
    <n v="75"/>
    <x v="0"/>
    <s v="NA"/>
    <s v="NA"/>
    <s v="NA"/>
    <s v="NA"/>
    <s v="NA"/>
    <s v="NA"/>
    <s v="NA"/>
    <s v="NA"/>
    <s v="NA"/>
    <s v="NA"/>
    <n v="-1.4"/>
    <s v="NA"/>
    <s v="NA"/>
    <s v="NA"/>
    <s v="NA"/>
    <s v="NA"/>
    <s v="NA"/>
    <n v="2.2999999999999998"/>
    <s v="NA"/>
    <s v="NA"/>
    <s v="NA"/>
    <n v="0"/>
    <n v="0"/>
    <n v="1"/>
    <n v="0"/>
    <n v="0"/>
    <n v="1"/>
    <x v="0"/>
    <x v="0"/>
    <n v="2"/>
    <x v="0"/>
    <n v="0.66100689878140895"/>
    <s v="NA"/>
    <s v="NA"/>
    <x v="0"/>
    <x v="0"/>
    <x v="0"/>
    <x v="0"/>
    <x v="0"/>
    <x v="8"/>
    <x v="0"/>
    <x v="0"/>
    <x v="0"/>
    <x v="0"/>
    <x v="16"/>
    <x v="0"/>
    <x v="0"/>
    <x v="0"/>
    <x v="0"/>
    <x v="0"/>
    <x v="0"/>
    <x v="0"/>
    <x v="48"/>
    <x v="0"/>
    <x v="0"/>
    <n v="199.56604221394301"/>
    <n v="0.9"/>
  </r>
  <r>
    <n v="21274"/>
    <x v="1"/>
    <x v="96"/>
    <x v="24"/>
    <x v="0"/>
    <s v="0|00L"/>
    <x v="0"/>
    <n v="2"/>
    <n v="2"/>
    <n v="3"/>
    <n v="67"/>
    <x v="1"/>
    <s v="NA"/>
    <s v="NA"/>
    <n v="-2.8"/>
    <s v="NA"/>
    <s v="NA"/>
    <n v="-2.5"/>
    <n v="-1"/>
    <s v="NA"/>
    <s v="NA"/>
    <n v="-2.2000000000000002"/>
    <n v="-2.2999999999999998"/>
    <n v="-2.2000000000000002"/>
    <s v="NA"/>
    <s v="NA"/>
    <s v="NA"/>
    <s v="NA"/>
    <s v="NA"/>
    <n v="-1.3"/>
    <s v="NA"/>
    <s v="NA"/>
    <s v="NA"/>
    <n v="1"/>
    <n v="1"/>
    <n v="1"/>
    <n v="0"/>
    <n v="0"/>
    <n v="1"/>
    <x v="0"/>
    <x v="0"/>
    <n v="4"/>
    <x v="1"/>
    <n v="0.38338400129321698"/>
    <n v="-0.71121196486504301"/>
    <n v="-0.92937002063436902"/>
    <x v="0"/>
    <x v="0"/>
    <x v="16"/>
    <x v="0"/>
    <x v="0"/>
    <x v="38"/>
    <x v="14"/>
    <x v="0"/>
    <x v="0"/>
    <x v="15"/>
    <x v="17"/>
    <x v="20"/>
    <x v="0"/>
    <x v="0"/>
    <x v="0"/>
    <x v="0"/>
    <x v="0"/>
    <x v="0"/>
    <x v="34"/>
    <x v="0"/>
    <x v="0"/>
    <n v="0.172496913441233"/>
    <n v="-14.3"/>
  </r>
  <r>
    <n v="21275"/>
    <x v="1"/>
    <x v="97"/>
    <x v="18"/>
    <x v="0"/>
    <s v="NA"/>
    <x v="2"/>
    <n v="3"/>
    <n v="3"/>
    <n v="4"/>
    <n v="75"/>
    <x v="0"/>
    <s v="NA"/>
    <s v="NA"/>
    <s v="NA"/>
    <s v="NA"/>
    <s v="NA"/>
    <s v="NA"/>
    <s v="NA"/>
    <s v="NA"/>
    <s v="NA"/>
    <n v="-1.5"/>
    <n v="-2.1"/>
    <s v="NA"/>
    <s v="NA"/>
    <s v="NA"/>
    <s v="NA"/>
    <s v="NA"/>
    <n v="0"/>
    <s v="NA"/>
    <s v="NA"/>
    <s v="NA"/>
    <s v="NA"/>
    <n v="0"/>
    <n v="1"/>
    <n v="1"/>
    <n v="0"/>
    <n v="0"/>
    <n v="0"/>
    <x v="1"/>
    <x v="0"/>
    <n v="3"/>
    <x v="1"/>
    <n v="0.66100689878140895"/>
    <s v="NA"/>
    <s v="NA"/>
    <x v="0"/>
    <x v="0"/>
    <x v="0"/>
    <x v="0"/>
    <x v="0"/>
    <x v="8"/>
    <x v="0"/>
    <x v="0"/>
    <x v="0"/>
    <x v="13"/>
    <x v="18"/>
    <x v="0"/>
    <x v="0"/>
    <x v="0"/>
    <x v="0"/>
    <x v="0"/>
    <x v="14"/>
    <x v="0"/>
    <x v="14"/>
    <x v="0"/>
    <x v="0"/>
    <n v="1.0395660589489299"/>
    <n v="-3.6"/>
  </r>
  <r>
    <n v="21276"/>
    <x v="1"/>
    <x v="98"/>
    <x v="30"/>
    <x v="0"/>
    <s v="NA"/>
    <x v="2"/>
    <n v="3"/>
    <n v="3"/>
    <n v="5"/>
    <n v="60"/>
    <x v="0"/>
    <s v="NA"/>
    <s v="NA"/>
    <s v="NA"/>
    <s v="NA"/>
    <s v="NA"/>
    <s v="NA"/>
    <n v="-2"/>
    <s v="NA"/>
    <s v="NA"/>
    <n v="-2"/>
    <n v="-2.6"/>
    <s v="NA"/>
    <s v="NA"/>
    <s v="NA"/>
    <s v="NA"/>
    <s v="NA"/>
    <s v="NA"/>
    <n v="-2.1"/>
    <s v="NA"/>
    <s v="NA"/>
    <s v="NA"/>
    <n v="1"/>
    <n v="1"/>
    <n v="1"/>
    <n v="0"/>
    <n v="0"/>
    <n v="1"/>
    <x v="0"/>
    <x v="0"/>
    <n v="4"/>
    <x v="1"/>
    <n v="0.14046396599104899"/>
    <s v="NA"/>
    <s v="NA"/>
    <x v="0"/>
    <x v="0"/>
    <x v="0"/>
    <x v="0"/>
    <x v="0"/>
    <x v="8"/>
    <x v="1"/>
    <x v="0"/>
    <x v="0"/>
    <x v="14"/>
    <x v="19"/>
    <x v="0"/>
    <x v="0"/>
    <x v="0"/>
    <x v="0"/>
    <x v="0"/>
    <x v="0"/>
    <x v="0"/>
    <x v="17"/>
    <x v="0"/>
    <x v="0"/>
    <n v="3.0455168778752401E-2"/>
    <n v="-8.6999999999999993"/>
  </r>
  <r>
    <n v="21277"/>
    <x v="1"/>
    <x v="99"/>
    <x v="12"/>
    <x v="0"/>
    <s v="C982"/>
    <x v="8"/>
    <n v="3"/>
    <n v="4"/>
    <n v="4"/>
    <n v="75"/>
    <x v="1"/>
    <s v="NA"/>
    <s v="NA"/>
    <n v="-2.5"/>
    <s v="NA"/>
    <s v="NA"/>
    <s v="NA"/>
    <s v="NA"/>
    <s v="NA"/>
    <s v="NA"/>
    <s v="NA"/>
    <s v="NA"/>
    <s v="NA"/>
    <s v="NA"/>
    <s v="NA"/>
    <s v="NA"/>
    <s v="NA"/>
    <s v="NA"/>
    <n v="-0.9"/>
    <s v="NA"/>
    <s v="NA"/>
    <s v="NA"/>
    <n v="1"/>
    <n v="0"/>
    <n v="0"/>
    <n v="0"/>
    <n v="0"/>
    <n v="1"/>
    <x v="0"/>
    <x v="0"/>
    <n v="2"/>
    <x v="0"/>
    <n v="0.66100689878140895"/>
    <n v="-0.71121196486504301"/>
    <n v="-0.259386125909217"/>
    <x v="0"/>
    <x v="0"/>
    <x v="17"/>
    <x v="0"/>
    <x v="0"/>
    <x v="8"/>
    <x v="0"/>
    <x v="0"/>
    <x v="0"/>
    <x v="0"/>
    <x v="0"/>
    <x v="0"/>
    <x v="0"/>
    <x v="0"/>
    <x v="0"/>
    <x v="0"/>
    <x v="0"/>
    <x v="0"/>
    <x v="49"/>
    <x v="0"/>
    <x v="0"/>
    <n v="0.129054818839585"/>
    <n v="-3.4"/>
  </r>
  <r>
    <n v="21278"/>
    <x v="1"/>
    <x v="100"/>
    <x v="28"/>
    <x v="0"/>
    <s v="NA8A"/>
    <x v="8"/>
    <n v="4"/>
    <n v="4"/>
    <n v="5"/>
    <n v="80"/>
    <x v="13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2.1"/>
    <s v="NA"/>
    <s v="NA"/>
    <s v="NA"/>
    <n v="0"/>
    <n v="0"/>
    <n v="0"/>
    <n v="0"/>
    <n v="0"/>
    <n v="1"/>
    <x v="0"/>
    <x v="0"/>
    <n v="1"/>
    <x v="0"/>
    <n v="0.83452120971152799"/>
    <n v="2.6276579680914001"/>
    <n v="-0.259386125909217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43"/>
    <x v="0"/>
    <x v="0"/>
    <n v="125.89254117941699"/>
    <n v="2.1"/>
  </r>
  <r>
    <n v="21279"/>
    <x v="1"/>
    <x v="101"/>
    <x v="20"/>
    <x v="2"/>
    <s v="MX76"/>
    <x v="3"/>
    <n v="4"/>
    <n v="5"/>
    <n v="5"/>
    <n v="80"/>
    <x v="3"/>
    <s v="NA"/>
    <s v="NA"/>
    <s v="NA"/>
    <s v="NA"/>
    <s v="NA"/>
    <s v="NA"/>
    <n v="-0.1"/>
    <s v="NA"/>
    <s v="NA"/>
    <s v="NA"/>
    <s v="NA"/>
    <s v="NA"/>
    <s v="NA"/>
    <s v="NA"/>
    <s v="NA"/>
    <s v="NA"/>
    <s v="NA"/>
    <n v="1.6"/>
    <n v="1.9"/>
    <s v="NA"/>
    <s v="NA"/>
    <n v="1"/>
    <n v="0"/>
    <n v="0"/>
    <n v="0"/>
    <n v="0"/>
    <n v="1"/>
    <x v="1"/>
    <x v="0"/>
    <n v="3"/>
    <x v="1"/>
    <n v="0.83452120971152799"/>
    <n v="1.19671616416297"/>
    <n v="0.41059776881593502"/>
    <x v="0"/>
    <x v="0"/>
    <x v="0"/>
    <x v="0"/>
    <x v="0"/>
    <x v="8"/>
    <x v="28"/>
    <x v="0"/>
    <x v="0"/>
    <x v="0"/>
    <x v="0"/>
    <x v="0"/>
    <x v="0"/>
    <x v="0"/>
    <x v="0"/>
    <x v="0"/>
    <x v="0"/>
    <x v="8"/>
    <x v="36"/>
    <x v="0"/>
    <x v="0"/>
    <n v="120.037868762502"/>
    <n v="3.4"/>
  </r>
  <r>
    <n v="21280"/>
    <x v="1"/>
    <x v="102"/>
    <x v="13"/>
    <x v="2"/>
    <s v="N4N6"/>
    <x v="14"/>
    <n v="2"/>
    <n v="3"/>
    <n v="5"/>
    <n v="40"/>
    <x v="9"/>
    <s v="NA"/>
    <s v="NA"/>
    <s v="NA"/>
    <s v="NA"/>
    <s v="NA"/>
    <s v="NA"/>
    <s v="NA"/>
    <s v="NA"/>
    <s v="NA"/>
    <n v="0.2"/>
    <s v="NA"/>
    <s v="NA"/>
    <s v="NA"/>
    <s v="NA"/>
    <s v="NA"/>
    <s v="NA"/>
    <s v="NA"/>
    <n v="0.9"/>
    <s v="NA"/>
    <s v="NA"/>
    <n v="0.6"/>
    <n v="0"/>
    <n v="1"/>
    <n v="0"/>
    <n v="0"/>
    <n v="0"/>
    <n v="1"/>
    <x v="0"/>
    <x v="1"/>
    <n v="3"/>
    <x v="1"/>
    <n v="-0.55359327772942901"/>
    <n v="0.24275209964896399"/>
    <n v="-3.6058161000832999E-2"/>
    <x v="0"/>
    <x v="0"/>
    <x v="0"/>
    <x v="0"/>
    <x v="0"/>
    <x v="8"/>
    <x v="0"/>
    <x v="0"/>
    <x v="0"/>
    <x v="22"/>
    <x v="0"/>
    <x v="0"/>
    <x v="0"/>
    <x v="0"/>
    <x v="0"/>
    <x v="0"/>
    <x v="0"/>
    <x v="0"/>
    <x v="32"/>
    <x v="0"/>
    <x v="3"/>
    <n v="13.5092472452389"/>
    <n v="1.7"/>
  </r>
  <r>
    <n v="21281"/>
    <x v="1"/>
    <x v="103"/>
    <x v="15"/>
    <x v="2"/>
    <s v="F3C0_0|05M"/>
    <x v="4"/>
    <n v="3"/>
    <n v="4"/>
    <n v="4"/>
    <n v="75"/>
    <x v="6"/>
    <s v="NA"/>
    <s v="NA"/>
    <s v="NA"/>
    <s v="NA"/>
    <n v="-1.8"/>
    <s v="NA"/>
    <n v="-1.5"/>
    <s v="NA"/>
    <s v="NA"/>
    <s v="NA"/>
    <s v="NA"/>
    <s v="NA"/>
    <s v="NA"/>
    <s v="NA"/>
    <s v="NA"/>
    <s v="NA"/>
    <s v="NA"/>
    <n v="-1.3"/>
    <s v="NA"/>
    <s v="NA"/>
    <s v="NA"/>
    <n v="1"/>
    <n v="0"/>
    <n v="0"/>
    <n v="0"/>
    <n v="0"/>
    <n v="1"/>
    <x v="0"/>
    <x v="0"/>
    <n v="2"/>
    <x v="0"/>
    <n v="0.66100689878140895"/>
    <n v="-0.23423327243956901"/>
    <n v="-0.706042055725985"/>
    <x v="0"/>
    <x v="0"/>
    <x v="0"/>
    <x v="0"/>
    <x v="9"/>
    <x v="8"/>
    <x v="15"/>
    <x v="0"/>
    <x v="0"/>
    <x v="0"/>
    <x v="0"/>
    <x v="0"/>
    <x v="0"/>
    <x v="0"/>
    <x v="0"/>
    <x v="0"/>
    <x v="0"/>
    <x v="0"/>
    <x v="34"/>
    <x v="0"/>
    <x v="0"/>
    <n v="9.7590431889022097E-2"/>
    <n v="-4.5999999999999996"/>
  </r>
  <r>
    <n v="21282"/>
    <x v="1"/>
    <x v="104"/>
    <x v="18"/>
    <x v="2"/>
    <s v="NA"/>
    <x v="2"/>
    <n v="3"/>
    <n v="3"/>
    <n v="4"/>
    <n v="75"/>
    <x v="0"/>
    <s v="NA"/>
    <s v="NA"/>
    <s v="NA"/>
    <s v="NA"/>
    <n v="-0.3"/>
    <s v="NA"/>
    <s v="NA"/>
    <s v="NA"/>
    <s v="NA"/>
    <s v="NA"/>
    <s v="NA"/>
    <s v="NA"/>
    <s v="NA"/>
    <s v="NA"/>
    <s v="NA"/>
    <s v="NA"/>
    <s v="NA"/>
    <n v="2"/>
    <s v="NA"/>
    <s v="NA"/>
    <s v="NA"/>
    <n v="1"/>
    <n v="0"/>
    <n v="0"/>
    <n v="0"/>
    <n v="0"/>
    <n v="1"/>
    <x v="0"/>
    <x v="0"/>
    <n v="2"/>
    <x v="0"/>
    <n v="0.66100689878140895"/>
    <s v="NA"/>
    <s v="NA"/>
    <x v="0"/>
    <x v="0"/>
    <x v="0"/>
    <x v="0"/>
    <x v="10"/>
    <x v="8"/>
    <x v="0"/>
    <x v="0"/>
    <x v="0"/>
    <x v="0"/>
    <x v="0"/>
    <x v="0"/>
    <x v="0"/>
    <x v="0"/>
    <x v="0"/>
    <x v="0"/>
    <x v="0"/>
    <x v="0"/>
    <x v="41"/>
    <x v="0"/>
    <x v="0"/>
    <n v="100.50118723362699"/>
    <n v="1.7"/>
  </r>
  <r>
    <n v="21283"/>
    <x v="1"/>
    <x v="105"/>
    <x v="22"/>
    <x v="2"/>
    <s v="842F"/>
    <x v="2"/>
    <n v="2"/>
    <n v="5"/>
    <n v="6"/>
    <n v="33"/>
    <x v="2"/>
    <s v="NA"/>
    <s v="NA"/>
    <s v="NA"/>
    <s v="NA"/>
    <s v="NA"/>
    <s v="NA"/>
    <n v="0.1"/>
    <s v="NA"/>
    <s v="NA"/>
    <s v="NA"/>
    <s v="NA"/>
    <s v="NA"/>
    <s v="NA"/>
    <s v="NA"/>
    <s v="NA"/>
    <s v="NA"/>
    <s v="NA"/>
    <n v="2"/>
    <s v="NA"/>
    <s v="NA"/>
    <s v="NA"/>
    <n v="1"/>
    <n v="0"/>
    <n v="0"/>
    <n v="0"/>
    <n v="0"/>
    <n v="1"/>
    <x v="0"/>
    <x v="0"/>
    <n v="2"/>
    <x v="0"/>
    <n v="-0.796513313031597"/>
    <n v="-1.18819828996463"/>
    <s v="NA"/>
    <x v="0"/>
    <x v="0"/>
    <x v="0"/>
    <x v="0"/>
    <x v="0"/>
    <x v="8"/>
    <x v="23"/>
    <x v="0"/>
    <x v="0"/>
    <x v="0"/>
    <x v="0"/>
    <x v="0"/>
    <x v="0"/>
    <x v="0"/>
    <x v="0"/>
    <x v="0"/>
    <x v="0"/>
    <x v="0"/>
    <x v="41"/>
    <x v="0"/>
    <x v="0"/>
    <n v="101.258925411794"/>
    <n v="2.1"/>
  </r>
  <r>
    <n v="21284"/>
    <x v="1"/>
    <x v="106"/>
    <x v="24"/>
    <x v="2"/>
    <s v="0|00L"/>
    <x v="0"/>
    <n v="2"/>
    <n v="2"/>
    <n v="3"/>
    <n v="67"/>
    <x v="1"/>
    <n v="-2.9"/>
    <n v="-3.9"/>
    <n v="-4"/>
    <n v="-4.2"/>
    <n v="-3.6"/>
    <n v="-5.5"/>
    <n v="-4.2"/>
    <s v="NA"/>
    <s v="NA"/>
    <n v="-3.8"/>
    <s v="NA"/>
    <n v="-3"/>
    <s v="NA"/>
    <s v="NA"/>
    <s v="NA"/>
    <s v="NA"/>
    <n v="0"/>
    <n v="-0.3"/>
    <n v="-4.4000000000000004"/>
    <s v="NA"/>
    <s v="NA"/>
    <n v="1"/>
    <n v="1"/>
    <n v="1"/>
    <n v="0"/>
    <n v="0"/>
    <n v="1"/>
    <x v="1"/>
    <x v="0"/>
    <n v="5"/>
    <x v="1"/>
    <n v="0.38338400129321698"/>
    <n v="-0.71121196486504301"/>
    <n v="-0.92937002063436902"/>
    <x v="3"/>
    <x v="10"/>
    <x v="12"/>
    <x v="20"/>
    <x v="11"/>
    <x v="20"/>
    <x v="29"/>
    <x v="0"/>
    <x v="0"/>
    <x v="23"/>
    <x v="0"/>
    <x v="19"/>
    <x v="0"/>
    <x v="0"/>
    <x v="0"/>
    <x v="0"/>
    <x v="14"/>
    <x v="2"/>
    <x v="8"/>
    <x v="0"/>
    <x v="0"/>
    <n v="1.50425089400625"/>
    <n v="-39.799999999999997"/>
  </r>
  <r>
    <n v="21285"/>
    <x v="1"/>
    <x v="6"/>
    <x v="4"/>
    <x v="2"/>
    <s v="CX94_F104"/>
    <x v="7"/>
    <n v="3"/>
    <n v="3"/>
    <n v="4"/>
    <n v="75"/>
    <x v="10"/>
    <s v="NA"/>
    <s v="NA"/>
    <s v="NA"/>
    <s v="NA"/>
    <n v="0.2"/>
    <s v="NA"/>
    <n v="-0.3"/>
    <s v="NA"/>
    <s v="NA"/>
    <s v="NA"/>
    <s v="NA"/>
    <s v="NA"/>
    <s v="NA"/>
    <s v="NA"/>
    <s v="NA"/>
    <s v="NA"/>
    <n v="1.4"/>
    <n v="2"/>
    <n v="0.7"/>
    <s v="NA"/>
    <s v="NA"/>
    <n v="1"/>
    <n v="0"/>
    <n v="0"/>
    <n v="0"/>
    <n v="0"/>
    <n v="1"/>
    <x v="1"/>
    <x v="0"/>
    <n v="3"/>
    <x v="1"/>
    <n v="0.66100689878140895"/>
    <n v="0.242749223444433"/>
    <n v="-0.48271409081760103"/>
    <x v="0"/>
    <x v="0"/>
    <x v="0"/>
    <x v="0"/>
    <x v="4"/>
    <x v="8"/>
    <x v="10"/>
    <x v="0"/>
    <x v="0"/>
    <x v="0"/>
    <x v="0"/>
    <x v="0"/>
    <x v="0"/>
    <x v="0"/>
    <x v="0"/>
    <x v="0"/>
    <x v="15"/>
    <x v="9"/>
    <x v="41"/>
    <x v="0"/>
    <x v="0"/>
    <n v="132.21681707745699"/>
    <n v="4"/>
  </r>
  <r>
    <n v="21286"/>
    <x v="1"/>
    <x v="107"/>
    <x v="3"/>
    <x v="2"/>
    <s v="A09X"/>
    <x v="12"/>
    <n v="4"/>
    <n v="4"/>
    <n v="5"/>
    <n v="80"/>
    <x v="1"/>
    <s v="NA"/>
    <s v="NA"/>
    <s v="NA"/>
    <s v="NA"/>
    <s v="NA"/>
    <s v="NA"/>
    <s v="NA"/>
    <s v="NA"/>
    <s v="NA"/>
    <s v="NA"/>
    <s v="NA"/>
    <n v="0.5"/>
    <s v="NA"/>
    <s v="NA"/>
    <s v="NA"/>
    <s v="NA"/>
    <s v="NA"/>
    <n v="1.7"/>
    <s v="NA"/>
    <s v="NA"/>
    <s v="NA"/>
    <n v="0"/>
    <n v="0"/>
    <n v="1"/>
    <n v="0"/>
    <n v="0"/>
    <n v="1"/>
    <x v="0"/>
    <x v="0"/>
    <n v="2"/>
    <x v="0"/>
    <n v="0.83452120971152799"/>
    <n v="-0.71121196486504301"/>
    <n v="0.63392573372431904"/>
    <x v="0"/>
    <x v="0"/>
    <x v="0"/>
    <x v="0"/>
    <x v="0"/>
    <x v="8"/>
    <x v="0"/>
    <x v="0"/>
    <x v="0"/>
    <x v="0"/>
    <x v="0"/>
    <x v="21"/>
    <x v="0"/>
    <x v="0"/>
    <x v="0"/>
    <x v="0"/>
    <x v="0"/>
    <x v="0"/>
    <x v="11"/>
    <x v="0"/>
    <x v="0"/>
    <n v="53.281001022895602"/>
    <n v="2.2000000000000002"/>
  </r>
  <r>
    <n v="21287"/>
    <x v="1"/>
    <x v="108"/>
    <x v="25"/>
    <x v="2"/>
    <s v="CX9V_F102"/>
    <x v="7"/>
    <n v="2"/>
    <n v="3"/>
    <n v="4"/>
    <n v="50"/>
    <x v="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1"/>
    <s v="NA"/>
    <s v="NA"/>
    <s v="NA"/>
    <n v="0"/>
    <n v="0"/>
    <n v="0"/>
    <n v="0"/>
    <n v="0"/>
    <n v="1"/>
    <x v="0"/>
    <x v="0"/>
    <n v="1"/>
    <x v="0"/>
    <n v="-0.20656465586919001"/>
    <n v="0.48124049714348999"/>
    <n v="-0.48271409081760103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45"/>
    <x v="0"/>
    <x v="0"/>
    <n v="10"/>
    <n v="1"/>
  </r>
  <r>
    <n v="21288"/>
    <x v="1"/>
    <x v="109"/>
    <x v="7"/>
    <x v="2"/>
    <s v="0|005"/>
    <x v="0"/>
    <n v="3"/>
    <n v="3"/>
    <n v="4"/>
    <n v="75"/>
    <x v="2"/>
    <n v="-2.2999999999999998"/>
    <n v="-2.1"/>
    <n v="-2.9"/>
    <n v="-2.9"/>
    <s v="NA"/>
    <n v="-3.1"/>
    <n v="-2.1"/>
    <s v="NA"/>
    <n v="-2.5"/>
    <n v="-1.4"/>
    <n v="-2.8"/>
    <n v="-1.1000000000000001"/>
    <s v="NA"/>
    <s v="NA"/>
    <n v="-1.5"/>
    <s v="NA"/>
    <n v="-0.2"/>
    <n v="0"/>
    <n v="-3.5"/>
    <s v="NA"/>
    <s v="NA"/>
    <n v="1"/>
    <n v="1"/>
    <n v="1"/>
    <n v="0"/>
    <n v="1"/>
    <n v="1"/>
    <x v="1"/>
    <x v="0"/>
    <n v="6"/>
    <x v="1"/>
    <n v="0.66100689878140895"/>
    <n v="-1.18819828996463"/>
    <n v="-0.92937002063436902"/>
    <x v="10"/>
    <x v="11"/>
    <x v="18"/>
    <x v="21"/>
    <x v="0"/>
    <x v="32"/>
    <x v="30"/>
    <x v="0"/>
    <x v="8"/>
    <x v="24"/>
    <x v="20"/>
    <x v="22"/>
    <x v="0"/>
    <x v="0"/>
    <x v="13"/>
    <x v="0"/>
    <x v="16"/>
    <x v="10"/>
    <x v="44"/>
    <x v="0"/>
    <x v="0"/>
    <n v="1.8110976763173701"/>
    <n v="-28.4"/>
  </r>
  <r>
    <n v="21289"/>
    <x v="1"/>
    <x v="110"/>
    <x v="9"/>
    <x v="2"/>
    <s v="N14X"/>
    <x v="3"/>
    <n v="3"/>
    <n v="3"/>
    <n v="5"/>
    <n v="60"/>
    <x v="4"/>
    <n v="-3.2"/>
    <s v="NA"/>
    <n v="-3.8"/>
    <n v="-0.4"/>
    <s v="NA"/>
    <n v="-3.9"/>
    <n v="-0.7"/>
    <s v="NA"/>
    <s v="NA"/>
    <s v="NA"/>
    <n v="-2.1"/>
    <n v="-2.6"/>
    <s v="NA"/>
    <s v="NA"/>
    <n v="-2"/>
    <s v="NA"/>
    <n v="-1"/>
    <n v="-0.9"/>
    <s v="NA"/>
    <s v="NA"/>
    <s v="NA"/>
    <n v="1"/>
    <n v="0"/>
    <n v="1"/>
    <n v="0"/>
    <n v="1"/>
    <n v="1"/>
    <x v="1"/>
    <x v="0"/>
    <n v="5"/>
    <x v="1"/>
    <n v="0.14046396599104899"/>
    <n v="1.19671427531223"/>
    <n v="0.41059776881593502"/>
    <x v="11"/>
    <x v="0"/>
    <x v="19"/>
    <x v="22"/>
    <x v="0"/>
    <x v="9"/>
    <x v="21"/>
    <x v="0"/>
    <x v="0"/>
    <x v="0"/>
    <x v="18"/>
    <x v="23"/>
    <x v="0"/>
    <x v="0"/>
    <x v="14"/>
    <x v="0"/>
    <x v="17"/>
    <x v="0"/>
    <x v="49"/>
    <x v="0"/>
    <x v="0"/>
    <n v="0.84489645121346002"/>
    <n v="-20.6"/>
  </r>
  <r>
    <n v="21290"/>
    <x v="1"/>
    <x v="79"/>
    <x v="28"/>
    <x v="2"/>
    <s v="NA8A"/>
    <x v="8"/>
    <n v="4"/>
    <n v="4"/>
    <n v="5"/>
    <n v="80"/>
    <x v="13"/>
    <s v="NA"/>
    <n v="-3.2"/>
    <s v="NA"/>
    <n v="-3.7"/>
    <s v="NA"/>
    <n v="-4.0999999999999996"/>
    <n v="-2.2999999999999998"/>
    <s v="NA"/>
    <s v="NA"/>
    <n v="-2.9"/>
    <n v="-0.8"/>
    <n v="-2.8"/>
    <s v="NA"/>
    <s v="NA"/>
    <n v="-0.9"/>
    <s v="NA"/>
    <n v="-0.9"/>
    <n v="-1.3"/>
    <n v="-2.2999999999999998"/>
    <s v="NA"/>
    <s v="NA"/>
    <n v="1"/>
    <n v="1"/>
    <n v="1"/>
    <n v="0"/>
    <n v="1"/>
    <n v="1"/>
    <x v="1"/>
    <x v="0"/>
    <n v="6"/>
    <x v="1"/>
    <n v="0.83452120971152799"/>
    <n v="2.6276579680914001"/>
    <n v="-0.259386125909217"/>
    <x v="0"/>
    <x v="12"/>
    <x v="0"/>
    <x v="23"/>
    <x v="0"/>
    <x v="11"/>
    <x v="13"/>
    <x v="0"/>
    <x v="0"/>
    <x v="7"/>
    <x v="21"/>
    <x v="24"/>
    <x v="0"/>
    <x v="0"/>
    <x v="15"/>
    <x v="0"/>
    <x v="18"/>
    <x v="11"/>
    <x v="34"/>
    <x v="0"/>
    <x v="0"/>
    <n v="0.47417060464392202"/>
    <n v="-25.2"/>
  </r>
  <r>
    <n v="21291"/>
    <x v="1"/>
    <x v="111"/>
    <x v="6"/>
    <x v="2"/>
    <s v="CXW3"/>
    <x v="7"/>
    <n v="2"/>
    <n v="2"/>
    <n v="5"/>
    <n v="40"/>
    <x v="8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.8"/>
    <s v="NA"/>
    <s v="NA"/>
    <s v="NA"/>
    <n v="0"/>
    <n v="0"/>
    <n v="0"/>
    <n v="0"/>
    <n v="0"/>
    <n v="1"/>
    <x v="0"/>
    <x v="0"/>
    <n v="1"/>
    <x v="0"/>
    <n v="-0.55359327772942901"/>
    <n v="0.71972983906338395"/>
    <n v="-0.48271409081760103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50"/>
    <x v="0"/>
    <x v="0"/>
    <n v="6.3095734448019298"/>
    <n v="0.8"/>
  </r>
  <r>
    <n v="21292"/>
    <x v="1"/>
    <x v="112"/>
    <x v="12"/>
    <x v="2"/>
    <s v="C982"/>
    <x v="8"/>
    <n v="3"/>
    <n v="4"/>
    <n v="4"/>
    <n v="75"/>
    <x v="1"/>
    <s v="NA"/>
    <s v="NA"/>
    <s v="NA"/>
    <s v="NA"/>
    <s v="NA"/>
    <s v="NA"/>
    <n v="0.3"/>
    <s v="NA"/>
    <s v="NA"/>
    <s v="NA"/>
    <s v="NA"/>
    <s v="NA"/>
    <n v="0"/>
    <s v="NA"/>
    <s v="NA"/>
    <s v="NA"/>
    <s v="NA"/>
    <n v="1.9"/>
    <s v="NA"/>
    <s v="NA"/>
    <s v="NA"/>
    <n v="1"/>
    <n v="0"/>
    <n v="0"/>
    <n v="1"/>
    <n v="0"/>
    <n v="1"/>
    <x v="0"/>
    <x v="0"/>
    <n v="3"/>
    <x v="1"/>
    <n v="0.66100689878140895"/>
    <n v="-0.71121196486504301"/>
    <n v="-0.259386125909217"/>
    <x v="0"/>
    <x v="0"/>
    <x v="0"/>
    <x v="0"/>
    <x v="0"/>
    <x v="8"/>
    <x v="31"/>
    <x v="0"/>
    <x v="0"/>
    <x v="0"/>
    <x v="0"/>
    <x v="0"/>
    <x v="5"/>
    <x v="0"/>
    <x v="0"/>
    <x v="0"/>
    <x v="0"/>
    <x v="0"/>
    <x v="46"/>
    <x v="0"/>
    <x v="0"/>
    <n v="82.428085787396995"/>
    <n v="2.2000000000000002"/>
  </r>
  <r>
    <n v="21293"/>
    <x v="1"/>
    <x v="113"/>
    <x v="14"/>
    <x v="2"/>
    <s v="NA"/>
    <x v="2"/>
    <n v="2"/>
    <n v="4"/>
    <n v="5"/>
    <n v="40"/>
    <x v="0"/>
    <s v="NA"/>
    <s v="NA"/>
    <s v="NA"/>
    <s v="NA"/>
    <s v="NA"/>
    <s v="NA"/>
    <n v="-1.1000000000000001"/>
    <s v="NA"/>
    <s v="NA"/>
    <s v="NA"/>
    <s v="NA"/>
    <s v="NA"/>
    <s v="NA"/>
    <s v="NA"/>
    <s v="NA"/>
    <s v="NA"/>
    <n v="0.5"/>
    <n v="-0.2"/>
    <n v="-0.7"/>
    <s v="NA"/>
    <s v="NA"/>
    <n v="1"/>
    <n v="0"/>
    <n v="0"/>
    <n v="0"/>
    <n v="0"/>
    <n v="1"/>
    <x v="1"/>
    <x v="0"/>
    <n v="3"/>
    <x v="1"/>
    <n v="-0.55359327772942901"/>
    <s v="NA"/>
    <s v="NA"/>
    <x v="0"/>
    <x v="0"/>
    <x v="0"/>
    <x v="0"/>
    <x v="0"/>
    <x v="8"/>
    <x v="32"/>
    <x v="0"/>
    <x v="0"/>
    <x v="0"/>
    <x v="0"/>
    <x v="0"/>
    <x v="0"/>
    <x v="0"/>
    <x v="0"/>
    <x v="0"/>
    <x v="19"/>
    <x v="12"/>
    <x v="51"/>
    <x v="0"/>
    <x v="0"/>
    <n v="4.0721940596178898"/>
    <n v="-1.5"/>
  </r>
  <r>
    <n v="21294"/>
    <x v="1"/>
    <x v="114"/>
    <x v="27"/>
    <x v="2"/>
    <s v="NA"/>
    <x v="2"/>
    <n v="3"/>
    <n v="3"/>
    <n v="4"/>
    <n v="75"/>
    <x v="0"/>
    <s v="NA"/>
    <s v="NA"/>
    <n v="-2.4"/>
    <n v="-2.2999999999999998"/>
    <n v="-2.2999999999999998"/>
    <n v="-3.3"/>
    <n v="-1.7"/>
    <s v="NA"/>
    <s v="NA"/>
    <n v="-1.7"/>
    <n v="-0.3"/>
    <n v="-1.2"/>
    <s v="NA"/>
    <s v="NA"/>
    <n v="0.1"/>
    <s v="NA"/>
    <s v="NA"/>
    <n v="0.6"/>
    <n v="-2"/>
    <s v="NA"/>
    <s v="NA"/>
    <n v="1"/>
    <n v="1"/>
    <n v="1"/>
    <n v="0"/>
    <n v="1"/>
    <n v="1"/>
    <x v="1"/>
    <x v="0"/>
    <n v="6"/>
    <x v="1"/>
    <n v="0.66100689878140895"/>
    <s v="NA"/>
    <s v="NA"/>
    <x v="0"/>
    <x v="0"/>
    <x v="20"/>
    <x v="24"/>
    <x v="12"/>
    <x v="39"/>
    <x v="33"/>
    <x v="0"/>
    <x v="0"/>
    <x v="18"/>
    <x v="22"/>
    <x v="14"/>
    <x v="0"/>
    <x v="0"/>
    <x v="16"/>
    <x v="0"/>
    <x v="0"/>
    <x v="13"/>
    <x v="52"/>
    <x v="0"/>
    <x v="0"/>
    <n v="5.8686913353155203"/>
    <n v="-16.5"/>
  </r>
  <r>
    <n v="21295"/>
    <x v="1"/>
    <x v="115"/>
    <x v="19"/>
    <x v="2"/>
    <s v="6WMS"/>
    <x v="15"/>
    <n v="3"/>
    <n v="3"/>
    <n v="5"/>
    <n v="60"/>
    <x v="9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1.8"/>
    <s v="NA"/>
    <s v="NA"/>
    <s v="NA"/>
    <n v="0"/>
    <n v="0"/>
    <n v="0"/>
    <n v="0"/>
    <n v="0"/>
    <n v="1"/>
    <x v="0"/>
    <x v="0"/>
    <n v="1"/>
    <x v="0"/>
    <n v="0.14046396599104899"/>
    <n v="0.24275209964896399"/>
    <n v="2.6438774178997799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37"/>
    <x v="0"/>
    <x v="0"/>
    <n v="63.0957344480193"/>
    <n v="1.8"/>
  </r>
  <r>
    <n v="21296"/>
    <x v="1"/>
    <x v="116"/>
    <x v="30"/>
    <x v="2"/>
    <s v="NA"/>
    <x v="2"/>
    <n v="3"/>
    <n v="3"/>
    <n v="5"/>
    <n v="60"/>
    <x v="0"/>
    <s v="NA"/>
    <n v="-1"/>
    <s v="NA"/>
    <s v="NA"/>
    <n v="-1.4"/>
    <n v="-2.7"/>
    <n v="-1.2"/>
    <s v="NA"/>
    <s v="NA"/>
    <n v="-1"/>
    <s v="NA"/>
    <n v="-1"/>
    <s v="NA"/>
    <s v="NA"/>
    <s v="NA"/>
    <s v="NA"/>
    <s v="NA"/>
    <n v="0.4"/>
    <s v="NA"/>
    <s v="NA"/>
    <s v="NA"/>
    <n v="1"/>
    <n v="1"/>
    <n v="1"/>
    <n v="0"/>
    <n v="0"/>
    <n v="1"/>
    <x v="0"/>
    <x v="0"/>
    <n v="4"/>
    <x v="1"/>
    <n v="0.14046396599104899"/>
    <s v="NA"/>
    <s v="NA"/>
    <x v="0"/>
    <x v="13"/>
    <x v="0"/>
    <x v="0"/>
    <x v="13"/>
    <x v="5"/>
    <x v="18"/>
    <x v="0"/>
    <x v="0"/>
    <x v="25"/>
    <x v="0"/>
    <x v="25"/>
    <x v="0"/>
    <x v="0"/>
    <x v="0"/>
    <x v="0"/>
    <x v="0"/>
    <x v="0"/>
    <x v="42"/>
    <x v="0"/>
    <x v="0"/>
    <n v="2.9167881453279199"/>
    <n v="-7.9"/>
  </r>
  <r>
    <n v="21297"/>
    <x v="1"/>
    <x v="117"/>
    <x v="26"/>
    <x v="2"/>
    <s v="C9AM_7326"/>
    <x v="13"/>
    <n v="3"/>
    <n v="5"/>
    <n v="5"/>
    <n v="60"/>
    <x v="5"/>
    <s v="NA"/>
    <s v="NA"/>
    <n v="-2.8"/>
    <s v="NA"/>
    <n v="-1.7"/>
    <s v="NA"/>
    <n v="-1.9"/>
    <s v="NA"/>
    <s v="NA"/>
    <s v="NA"/>
    <s v="NA"/>
    <n v="-1.8"/>
    <s v="NA"/>
    <s v="NA"/>
    <s v="NA"/>
    <s v="NA"/>
    <s v="NA"/>
    <n v="-0.4"/>
    <s v="NA"/>
    <s v="NA"/>
    <s v="NA"/>
    <n v="1"/>
    <n v="0"/>
    <n v="1"/>
    <n v="0"/>
    <n v="0"/>
    <n v="1"/>
    <x v="0"/>
    <x v="0"/>
    <n v="3"/>
    <x v="1"/>
    <n v="0.14046396599104899"/>
    <n v="-0.47272451179588498"/>
    <n v="1.1922456459952799"/>
    <x v="0"/>
    <x v="0"/>
    <x v="16"/>
    <x v="0"/>
    <x v="14"/>
    <x v="8"/>
    <x v="34"/>
    <x v="0"/>
    <x v="0"/>
    <x v="0"/>
    <x v="0"/>
    <x v="26"/>
    <x v="0"/>
    <x v="0"/>
    <x v="0"/>
    <x v="0"/>
    <x v="0"/>
    <x v="0"/>
    <x v="18"/>
    <x v="0"/>
    <x v="0"/>
    <n v="0.44808287293819998"/>
    <n v="-8.6"/>
  </r>
  <r>
    <n v="21298"/>
    <x v="1"/>
    <x v="118"/>
    <x v="21"/>
    <x v="2"/>
    <s v="CX7V"/>
    <x v="7"/>
    <n v="1"/>
    <n v="1"/>
    <n v="4"/>
    <n v="25"/>
    <x v="3"/>
    <s v="NA"/>
    <n v="0.7"/>
    <s v="NA"/>
    <s v="NA"/>
    <s v="NA"/>
    <s v="NA"/>
    <s v="NA"/>
    <s v="NA"/>
    <s v="NA"/>
    <n v="-0.1"/>
    <s v="NA"/>
    <n v="-0.2"/>
    <s v="NA"/>
    <s v="NA"/>
    <s v="NA"/>
    <s v="NA"/>
    <n v="0.5"/>
    <n v="1.8"/>
    <n v="0"/>
    <s v="NA"/>
    <s v="NA"/>
    <n v="1"/>
    <n v="1"/>
    <n v="1"/>
    <n v="0"/>
    <n v="0"/>
    <n v="1"/>
    <x v="1"/>
    <x v="0"/>
    <n v="5"/>
    <x v="1"/>
    <n v="-1.07413621051979"/>
    <n v="1.19671616416297"/>
    <n v="-0.48271409081760103"/>
    <x v="0"/>
    <x v="14"/>
    <x v="0"/>
    <x v="0"/>
    <x v="0"/>
    <x v="8"/>
    <x v="0"/>
    <x v="0"/>
    <x v="0"/>
    <x v="12"/>
    <x v="0"/>
    <x v="27"/>
    <x v="0"/>
    <x v="0"/>
    <x v="0"/>
    <x v="0"/>
    <x v="19"/>
    <x v="5"/>
    <x v="37"/>
    <x v="0"/>
    <x v="0"/>
    <n v="73.6951700236649"/>
    <n v="2.7"/>
  </r>
  <r>
    <n v="21299"/>
    <x v="1"/>
    <x v="119"/>
    <x v="2"/>
    <x v="2"/>
    <s v="C98A"/>
    <x v="2"/>
    <n v="3"/>
    <n v="3"/>
    <n v="3"/>
    <n v="100"/>
    <x v="2"/>
    <s v="NA"/>
    <s v="NA"/>
    <n v="-4.4000000000000004"/>
    <n v="-4.5999999999999996"/>
    <n v="-3.5"/>
    <s v="NA"/>
    <n v="-0.9"/>
    <s v="NA"/>
    <s v="NA"/>
    <s v="NA"/>
    <s v="NA"/>
    <n v="-3"/>
    <s v="NA"/>
    <s v="NA"/>
    <n v="-1.8"/>
    <n v="-2.9"/>
    <n v="-2.2999999999999998"/>
    <n v="-2.4"/>
    <s v="NA"/>
    <s v="NA"/>
    <s v="NA"/>
    <n v="1"/>
    <n v="0"/>
    <n v="1"/>
    <n v="0"/>
    <n v="1"/>
    <n v="1"/>
    <x v="1"/>
    <x v="0"/>
    <n v="5"/>
    <x v="1"/>
    <n v="1.5285784534320099"/>
    <n v="-1.18819828996463"/>
    <s v="NA"/>
    <x v="0"/>
    <x v="0"/>
    <x v="21"/>
    <x v="25"/>
    <x v="15"/>
    <x v="8"/>
    <x v="35"/>
    <x v="0"/>
    <x v="0"/>
    <x v="0"/>
    <x v="0"/>
    <x v="19"/>
    <x v="0"/>
    <x v="0"/>
    <x v="10"/>
    <x v="9"/>
    <x v="20"/>
    <x v="0"/>
    <x v="26"/>
    <x v="0"/>
    <x v="0"/>
    <n v="0.153374499905017"/>
    <n v="-25.8"/>
  </r>
  <r>
    <n v="21300"/>
    <x v="1"/>
    <x v="120"/>
    <x v="1"/>
    <x v="2"/>
    <s v="N170_0|016"/>
    <x v="8"/>
    <n v="2"/>
    <n v="3"/>
    <n v="4"/>
    <n v="50"/>
    <x v="1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.9"/>
    <s v="NA"/>
    <s v="NA"/>
    <s v="NA"/>
    <n v="0"/>
    <n v="0"/>
    <n v="0"/>
    <n v="0"/>
    <n v="0"/>
    <n v="1"/>
    <x v="0"/>
    <x v="0"/>
    <n v="1"/>
    <x v="0"/>
    <n v="-0.20656465586919001"/>
    <n v="-0.234233238096828"/>
    <n v="-0.259386125909217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32"/>
    <x v="0"/>
    <x v="0"/>
    <n v="7.9432823472428202"/>
    <n v="0.9"/>
  </r>
  <r>
    <n v="21301"/>
    <x v="0"/>
    <x v="121"/>
    <x v="9"/>
    <x v="2"/>
    <s v="N14X"/>
    <x v="3"/>
    <n v="3"/>
    <n v="3"/>
    <n v="5"/>
    <n v="60"/>
    <x v="0"/>
    <s v="NA"/>
    <s v="NA"/>
    <s v="NA"/>
    <s v="NA"/>
    <s v="NA"/>
    <n v="-1"/>
    <n v="-0.8"/>
    <s v="NA"/>
    <s v="NA"/>
    <s v="NA"/>
    <s v="NA"/>
    <s v="NA"/>
    <s v="NA"/>
    <s v="NA"/>
    <s v="NA"/>
    <s v="NA"/>
    <s v="NA"/>
    <n v="-0.5"/>
    <s v="NA"/>
    <s v="NA"/>
    <s v="NA"/>
    <n v="1"/>
    <n v="0"/>
    <n v="0"/>
    <n v="0"/>
    <n v="0"/>
    <n v="1"/>
    <x v="0"/>
    <x v="0"/>
    <n v="2"/>
    <x v="0"/>
    <n v="0.14046396599104899"/>
    <s v="NA"/>
    <n v="0.41059776881593502"/>
    <x v="0"/>
    <x v="0"/>
    <x v="0"/>
    <x v="0"/>
    <x v="0"/>
    <x v="40"/>
    <x v="17"/>
    <x v="0"/>
    <x v="0"/>
    <x v="0"/>
    <x v="0"/>
    <x v="0"/>
    <x v="0"/>
    <x v="0"/>
    <x v="0"/>
    <x v="0"/>
    <x v="0"/>
    <x v="0"/>
    <x v="0"/>
    <x v="0"/>
    <x v="0"/>
    <n v="0.57471708526294896"/>
    <n v="-2.2999999999999998"/>
  </r>
  <r>
    <n v="21354"/>
    <x v="1"/>
    <x v="81"/>
    <x v="17"/>
    <x v="2"/>
    <s v="NA"/>
    <x v="2"/>
    <n v="3"/>
    <n v="4"/>
    <n v="4"/>
    <n v="75"/>
    <x v="0"/>
    <s v="NA"/>
    <s v="NA"/>
    <s v="NA"/>
    <s v="NA"/>
    <s v="NA"/>
    <s v="NA"/>
    <s v="NA"/>
    <s v="NA"/>
    <s v="NA"/>
    <n v="-2.4"/>
    <n v="-2.7"/>
    <s v="NA"/>
    <s v="NA"/>
    <s v="NA"/>
    <s v="NA"/>
    <s v="NA"/>
    <s v="NA"/>
    <n v="0.6"/>
    <s v="NA"/>
    <s v="NA"/>
    <s v="NA"/>
    <n v="0"/>
    <n v="1"/>
    <n v="1"/>
    <n v="0"/>
    <n v="0"/>
    <n v="1"/>
    <x v="0"/>
    <x v="0"/>
    <n v="3"/>
    <x v="1"/>
    <n v="0.66100689878140895"/>
    <s v="NA"/>
    <s v="NA"/>
    <x v="0"/>
    <x v="0"/>
    <x v="0"/>
    <x v="0"/>
    <x v="0"/>
    <x v="8"/>
    <x v="0"/>
    <x v="0"/>
    <x v="0"/>
    <x v="16"/>
    <x v="3"/>
    <x v="0"/>
    <x v="0"/>
    <x v="0"/>
    <x v="0"/>
    <x v="0"/>
    <x v="0"/>
    <x v="0"/>
    <x v="52"/>
    <x v="0"/>
    <x v="0"/>
    <n v="3.9870480395554799"/>
    <n v="-4.5"/>
  </r>
  <r>
    <n v="21355"/>
    <x v="1"/>
    <x v="122"/>
    <x v="16"/>
    <x v="2"/>
    <s v="C967"/>
    <x v="8"/>
    <n v="2"/>
    <n v="2"/>
    <n v="3"/>
    <n v="67"/>
    <x v="12"/>
    <s v="NA"/>
    <s v="NA"/>
    <s v="NA"/>
    <s v="NA"/>
    <s v="NA"/>
    <s v="NA"/>
    <s v="NA"/>
    <s v="NA"/>
    <s v="NA"/>
    <n v="-0.2"/>
    <n v="-0.6"/>
    <s v="NA"/>
    <s v="NA"/>
    <s v="NA"/>
    <s v="NA"/>
    <s v="NA"/>
    <s v="NA"/>
    <n v="2"/>
    <s v="NA"/>
    <s v="NA"/>
    <s v="NA"/>
    <n v="0"/>
    <n v="1"/>
    <n v="1"/>
    <n v="0"/>
    <n v="0"/>
    <n v="1"/>
    <x v="0"/>
    <x v="0"/>
    <n v="3"/>
    <x v="1"/>
    <n v="0.38338400129321698"/>
    <n v="-0.71121574256651598"/>
    <n v="-0.259386125909217"/>
    <x v="0"/>
    <x v="0"/>
    <x v="0"/>
    <x v="0"/>
    <x v="0"/>
    <x v="8"/>
    <x v="0"/>
    <x v="0"/>
    <x v="0"/>
    <x v="17"/>
    <x v="23"/>
    <x v="0"/>
    <x v="0"/>
    <x v="0"/>
    <x v="0"/>
    <x v="0"/>
    <x v="0"/>
    <x v="0"/>
    <x v="41"/>
    <x v="0"/>
    <x v="0"/>
    <n v="100.88214598763101"/>
    <n v="1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CEDE4-BB55-4A43-8909-96A7CA131DAB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3" firstDataCol="1"/>
  <pivotFields count="69">
    <pivotField showAll="0"/>
    <pivotField axis="axisCol" showAll="0">
      <items count="3">
        <item x="0"/>
        <item x="1"/>
        <item t="default"/>
      </items>
    </pivotField>
    <pivotField dataField="1" showAll="0">
      <items count="124">
        <item x="9"/>
        <item x="10"/>
        <item x="28"/>
        <item x="23"/>
        <item x="5"/>
        <item x="120"/>
        <item x="29"/>
        <item x="119"/>
        <item x="24"/>
        <item x="12"/>
        <item x="14"/>
        <item x="18"/>
        <item x="17"/>
        <item x="11"/>
        <item x="16"/>
        <item x="4"/>
        <item x="3"/>
        <item x="22"/>
        <item x="8"/>
        <item x="107"/>
        <item x="6"/>
        <item x="15"/>
        <item x="7"/>
        <item x="19"/>
        <item x="13"/>
        <item x="25"/>
        <item x="21"/>
        <item x="20"/>
        <item x="2"/>
        <item x="26"/>
        <item x="0"/>
        <item x="1"/>
        <item x="30"/>
        <item x="27"/>
        <item x="50"/>
        <item x="121"/>
        <item x="31"/>
        <item x="44"/>
        <item x="49"/>
        <item x="48"/>
        <item x="40"/>
        <item x="42"/>
        <item x="46"/>
        <item x="45"/>
        <item x="34"/>
        <item x="33"/>
        <item x="41"/>
        <item x="38"/>
        <item x="36"/>
        <item x="37"/>
        <item x="43"/>
        <item x="32"/>
        <item x="111"/>
        <item x="47"/>
        <item x="51"/>
        <item x="35"/>
        <item x="39"/>
        <item x="109"/>
        <item x="110"/>
        <item x="56"/>
        <item x="87"/>
        <item x="57"/>
        <item x="68"/>
        <item x="52"/>
        <item x="54"/>
        <item x="64"/>
        <item x="61"/>
        <item x="77"/>
        <item x="75"/>
        <item x="71"/>
        <item x="72"/>
        <item x="86"/>
        <item x="112"/>
        <item x="62"/>
        <item x="102"/>
        <item x="66"/>
        <item x="113"/>
        <item x="74"/>
        <item x="76"/>
        <item x="78"/>
        <item x="63"/>
        <item x="65"/>
        <item x="67"/>
        <item x="69"/>
        <item x="58"/>
        <item x="53"/>
        <item x="55"/>
        <item x="59"/>
        <item x="70"/>
        <item x="60"/>
        <item x="100"/>
        <item x="91"/>
        <item x="90"/>
        <item x="89"/>
        <item x="88"/>
        <item x="103"/>
        <item x="79"/>
        <item x="80"/>
        <item x="122"/>
        <item x="81"/>
        <item x="99"/>
        <item x="84"/>
        <item x="83"/>
        <item x="85"/>
        <item x="97"/>
        <item x="96"/>
        <item x="95"/>
        <item x="82"/>
        <item x="98"/>
        <item x="94"/>
        <item x="93"/>
        <item x="92"/>
        <item x="104"/>
        <item x="115"/>
        <item x="101"/>
        <item x="118"/>
        <item x="105"/>
        <item x="106"/>
        <item x="108"/>
        <item x="117"/>
        <item x="114"/>
        <item x="73"/>
        <item x="116"/>
        <item t="default"/>
      </items>
    </pivotField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18">
        <item x="5"/>
        <item x="6"/>
        <item x="0"/>
        <item x="4"/>
        <item x="7"/>
        <item x="8"/>
        <item x="14"/>
        <item x="1"/>
        <item x="3"/>
        <item x="12"/>
        <item x="11"/>
        <item x="13"/>
        <item x="10"/>
        <item x="9"/>
        <item x="15"/>
        <item x="16"/>
        <item x="2"/>
        <item t="default"/>
      </items>
    </pivotField>
    <pivotField showAll="0"/>
    <pivotField showAll="0"/>
    <pivotField showAll="0"/>
    <pivotField dataField="1" showAll="0"/>
    <pivotField dataField="1" showAll="0">
      <items count="15">
        <item x="2"/>
        <item x="12"/>
        <item x="1"/>
        <item x="5"/>
        <item x="6"/>
        <item x="11"/>
        <item x="10"/>
        <item x="9"/>
        <item x="7"/>
        <item x="8"/>
        <item x="4"/>
        <item x="3"/>
        <item x="1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Average of nsuccess" fld="10" subtotal="average" baseField="4" baseItem="0"/>
    <dataField name="Average of mean_lui" fld="11" subtotal="average" baseField="4" baseItem="0"/>
    <dataField name="Average of age" fld="6" subtotal="average" baseField="4" baseItem="0"/>
    <dataField name="Count of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DD91A-7262-4694-ABCE-77213F0A12B6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C7" firstHeaderRow="1" firstDataRow="4" firstDataCol="0"/>
  <pivotFields count="69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3">
    <field x="1"/>
    <field x="4"/>
    <field x="-2"/>
  </colFields>
  <colItems count="81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t="default">
      <x/>
    </i>
    <i t="default" i="1">
      <x/>
    </i>
    <i t="default" i="2">
      <x/>
    </i>
    <i t="default" i="3">
      <x/>
    </i>
    <i t="default" i="4">
      <x/>
    </i>
    <i t="default" i="5">
      <x/>
    </i>
    <i t="default" i="6">
      <x/>
    </i>
    <i t="default" i="7">
      <x/>
    </i>
    <i t="default" i="8">
      <x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t="default">
      <x v="1"/>
    </i>
    <i t="default" i="1">
      <x v="1"/>
    </i>
    <i t="default" i="2">
      <x v="1"/>
    </i>
    <i t="default" i="3">
      <x v="1"/>
    </i>
    <i t="default" i="4">
      <x v="1"/>
    </i>
    <i t="default" i="5">
      <x v="1"/>
    </i>
    <i t="default" i="6">
      <x v="1"/>
    </i>
    <i t="default" i="7">
      <x v="1"/>
    </i>
    <i t="default" i="8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</colItems>
  <dataFields count="9">
    <dataField name="Sum of TET" fld="33" baseField="0" baseItem="0"/>
    <dataField name="Sum of SULF" fld="34" baseField="0" baseItem="0"/>
    <dataField name="Sum of AMIN" fld="35" baseField="0" baseItem="0"/>
    <dataField name="Sum of PHEN" fld="36" baseField="0" baseItem="0"/>
    <dataField name="Sum of MACR" fld="37" baseField="0" baseItem="0"/>
    <dataField name="Sum of BLACT" fld="38" baseField="0" baseItem="0"/>
    <dataField name="Sum of QUIN" fld="39" baseField="0" baseItem="0"/>
    <dataField name="Sum of POLIMYX" fld="40" baseField="0" baseItem="0"/>
    <dataField name="Sum of MDR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E37E1-1B78-4A64-9818-A8AF93E06A05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O7" firstHeaderRow="1" firstDataRow="4" firstDataCol="0"/>
  <pivotFields count="69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2"/>
        <item x="6"/>
        <item x="8"/>
        <item x="11"/>
        <item x="3"/>
        <item x="10"/>
        <item x="4"/>
        <item x="1"/>
        <item x="7"/>
        <item x="9"/>
        <item x="5"/>
        <item x="0"/>
        <item t="default"/>
      </items>
    </pivotField>
    <pivotField dataField="1" showAll="0">
      <items count="16">
        <item x="10"/>
        <item x="2"/>
        <item x="1"/>
        <item x="8"/>
        <item x="12"/>
        <item x="9"/>
        <item x="11"/>
        <item x="13"/>
        <item x="5"/>
        <item x="6"/>
        <item x="14"/>
        <item x="7"/>
        <item x="3"/>
        <item x="4"/>
        <item x="0"/>
        <item t="default"/>
      </items>
    </pivotField>
    <pivotField dataField="1" showAll="0">
      <items count="23">
        <item x="19"/>
        <item x="1"/>
        <item x="15"/>
        <item x="7"/>
        <item x="4"/>
        <item x="18"/>
        <item x="16"/>
        <item x="17"/>
        <item x="20"/>
        <item x="6"/>
        <item x="11"/>
        <item x="9"/>
        <item x="8"/>
        <item x="14"/>
        <item x="13"/>
        <item x="10"/>
        <item x="12"/>
        <item x="3"/>
        <item x="21"/>
        <item x="2"/>
        <item x="5"/>
        <item x="0"/>
        <item t="default"/>
      </items>
    </pivotField>
    <pivotField dataField="1" showAll="0">
      <items count="27">
        <item x="5"/>
        <item x="23"/>
        <item x="18"/>
        <item x="19"/>
        <item x="21"/>
        <item x="12"/>
        <item x="11"/>
        <item x="24"/>
        <item x="15"/>
        <item x="10"/>
        <item x="13"/>
        <item x="17"/>
        <item x="14"/>
        <item x="22"/>
        <item x="16"/>
        <item x="7"/>
        <item x="3"/>
        <item x="6"/>
        <item x="1"/>
        <item x="2"/>
        <item x="25"/>
        <item x="8"/>
        <item x="9"/>
        <item x="4"/>
        <item x="20"/>
        <item x="0"/>
        <item t="default"/>
      </items>
    </pivotField>
    <pivotField dataField="1" showAll="0"/>
    <pivotField dataField="1" showAll="0">
      <items count="42">
        <item x="9"/>
        <item x="25"/>
        <item x="6"/>
        <item x="39"/>
        <item x="32"/>
        <item x="4"/>
        <item x="12"/>
        <item x="5"/>
        <item x="36"/>
        <item x="38"/>
        <item x="34"/>
        <item x="30"/>
        <item x="0"/>
        <item x="35"/>
        <item x="31"/>
        <item x="28"/>
        <item x="1"/>
        <item x="17"/>
        <item x="37"/>
        <item x="40"/>
        <item x="29"/>
        <item x="27"/>
        <item x="10"/>
        <item x="26"/>
        <item x="14"/>
        <item x="13"/>
        <item x="19"/>
        <item x="23"/>
        <item x="22"/>
        <item x="33"/>
        <item x="16"/>
        <item x="24"/>
        <item x="3"/>
        <item x="20"/>
        <item x="7"/>
        <item x="18"/>
        <item x="21"/>
        <item x="2"/>
        <item x="11"/>
        <item x="15"/>
        <item x="8"/>
        <item t="default"/>
      </items>
    </pivotField>
    <pivotField dataField="1" showAll="0">
      <items count="37">
        <item x="6"/>
        <item x="4"/>
        <item x="3"/>
        <item x="8"/>
        <item x="24"/>
        <item x="13"/>
        <item x="22"/>
        <item x="30"/>
        <item x="1"/>
        <item x="34"/>
        <item x="20"/>
        <item x="33"/>
        <item x="15"/>
        <item x="27"/>
        <item x="16"/>
        <item x="18"/>
        <item x="32"/>
        <item x="14"/>
        <item x="35"/>
        <item x="17"/>
        <item x="21"/>
        <item x="19"/>
        <item x="12"/>
        <item x="26"/>
        <item x="10"/>
        <item x="28"/>
        <item x="25"/>
        <item x="23"/>
        <item x="31"/>
        <item x="9"/>
        <item x="11"/>
        <item x="5"/>
        <item x="2"/>
        <item x="7"/>
        <item x="29"/>
        <item x="0"/>
        <item t="default"/>
      </items>
    </pivotField>
    <pivotField dataField="1" showAll="0">
      <items count="5">
        <item x="3"/>
        <item x="1"/>
        <item x="2"/>
        <item x="0"/>
        <item t="default"/>
      </items>
    </pivotField>
    <pivotField dataField="1" showAll="0">
      <items count="10">
        <item x="2"/>
        <item x="4"/>
        <item x="3"/>
        <item x="6"/>
        <item x="8"/>
        <item x="1"/>
        <item x="5"/>
        <item x="7"/>
        <item x="0"/>
        <item t="default"/>
      </items>
    </pivotField>
    <pivotField dataField="1" showAll="0">
      <items count="27">
        <item x="23"/>
        <item x="8"/>
        <item x="4"/>
        <item x="2"/>
        <item x="7"/>
        <item x="5"/>
        <item x="16"/>
        <item x="21"/>
        <item x="15"/>
        <item x="14"/>
        <item x="18"/>
        <item x="13"/>
        <item x="24"/>
        <item x="25"/>
        <item x="20"/>
        <item x="17"/>
        <item x="12"/>
        <item x="19"/>
        <item x="22"/>
        <item x="9"/>
        <item x="11"/>
        <item x="6"/>
        <item x="3"/>
        <item x="10"/>
        <item x="1"/>
        <item x="0"/>
        <item t="default"/>
      </items>
    </pivotField>
    <pivotField dataField="1" showAll="0">
      <items count="25">
        <item x="13"/>
        <item x="1"/>
        <item x="8"/>
        <item x="15"/>
        <item x="10"/>
        <item x="14"/>
        <item x="9"/>
        <item x="11"/>
        <item x="20"/>
        <item x="3"/>
        <item x="19"/>
        <item x="17"/>
        <item x="4"/>
        <item x="18"/>
        <item x="12"/>
        <item x="16"/>
        <item x="21"/>
        <item x="23"/>
        <item x="22"/>
        <item x="7"/>
        <item x="2"/>
        <item x="6"/>
        <item x="5"/>
        <item x="0"/>
        <item t="default"/>
      </items>
    </pivotField>
    <pivotField dataField="1" showAll="0">
      <items count="29">
        <item x="11"/>
        <item x="2"/>
        <item x="19"/>
        <item x="24"/>
        <item x="23"/>
        <item x="15"/>
        <item x="20"/>
        <item x="26"/>
        <item x="10"/>
        <item x="17"/>
        <item x="18"/>
        <item x="14"/>
        <item x="22"/>
        <item x="25"/>
        <item x="13"/>
        <item x="7"/>
        <item x="12"/>
        <item x="27"/>
        <item x="16"/>
        <item x="21"/>
        <item x="6"/>
        <item x="8"/>
        <item x="4"/>
        <item x="1"/>
        <item x="5"/>
        <item x="3"/>
        <item x="9"/>
        <item x="0"/>
        <item t="default"/>
      </items>
    </pivotField>
    <pivotField dataField="1" showAll="0">
      <items count="7">
        <item x="4"/>
        <item x="2"/>
        <item x="5"/>
        <item x="3"/>
        <item x="1"/>
        <item x="0"/>
        <item t="default"/>
      </items>
    </pivotField>
    <pivotField showAll="0">
      <items count="2">
        <item x="0"/>
        <item t="default"/>
      </items>
    </pivotField>
    <pivotField dataField="1" showAll="0">
      <items count="18">
        <item x="8"/>
        <item x="1"/>
        <item x="12"/>
        <item x="3"/>
        <item x="2"/>
        <item x="9"/>
        <item x="14"/>
        <item x="10"/>
        <item x="13"/>
        <item x="11"/>
        <item x="5"/>
        <item x="15"/>
        <item x="4"/>
        <item x="16"/>
        <item x="6"/>
        <item x="7"/>
        <item x="0"/>
        <item t="default"/>
      </items>
    </pivotField>
    <pivotField dataField="1" showAll="0">
      <items count="11">
        <item x="6"/>
        <item x="9"/>
        <item x="4"/>
        <item x="2"/>
        <item x="3"/>
        <item x="8"/>
        <item x="1"/>
        <item x="7"/>
        <item x="5"/>
        <item x="0"/>
        <item t="default"/>
      </items>
    </pivotField>
    <pivotField dataField="1" showAll="0">
      <items count="22">
        <item x="3"/>
        <item x="1"/>
        <item x="20"/>
        <item x="13"/>
        <item x="11"/>
        <item x="17"/>
        <item x="18"/>
        <item x="16"/>
        <item x="9"/>
        <item x="14"/>
        <item x="19"/>
        <item x="15"/>
        <item x="10"/>
        <item x="12"/>
        <item x="2"/>
        <item x="7"/>
        <item x="5"/>
        <item x="6"/>
        <item x="8"/>
        <item x="4"/>
        <item x="0"/>
        <item t="default"/>
      </items>
    </pivotField>
    <pivotField dataField="1" showAll="0">
      <items count="15">
        <item x="1"/>
        <item x="10"/>
        <item x="7"/>
        <item x="11"/>
        <item x="13"/>
        <item x="12"/>
        <item x="5"/>
        <item x="6"/>
        <item x="9"/>
        <item x="8"/>
        <item x="4"/>
        <item x="2"/>
        <item x="3"/>
        <item x="0"/>
        <item t="default"/>
      </items>
    </pivotField>
    <pivotField dataField="1" showAll="0">
      <items count="54">
        <item x="9"/>
        <item x="12"/>
        <item x="3"/>
        <item x="22"/>
        <item x="7"/>
        <item x="6"/>
        <item x="10"/>
        <item x="16"/>
        <item x="20"/>
        <item x="47"/>
        <item x="26"/>
        <item x="4"/>
        <item x="17"/>
        <item x="21"/>
        <item x="15"/>
        <item x="5"/>
        <item x="1"/>
        <item x="28"/>
        <item x="24"/>
        <item x="34"/>
        <item x="27"/>
        <item x="25"/>
        <item x="49"/>
        <item x="23"/>
        <item x="39"/>
        <item x="0"/>
        <item x="18"/>
        <item x="8"/>
        <item x="51"/>
        <item x="31"/>
        <item x="44"/>
        <item x="35"/>
        <item x="38"/>
        <item x="42"/>
        <item x="19"/>
        <item x="52"/>
        <item x="40"/>
        <item x="50"/>
        <item x="32"/>
        <item x="45"/>
        <item x="29"/>
        <item x="33"/>
        <item x="30"/>
        <item x="36"/>
        <item x="11"/>
        <item x="37"/>
        <item x="46"/>
        <item x="41"/>
        <item x="43"/>
        <item x="48"/>
        <item x="13"/>
        <item x="2"/>
        <item x="14"/>
        <item t="default"/>
      </items>
    </pivotField>
    <pivotField showAll="0">
      <items count="2">
        <item x="0"/>
        <item t="default"/>
      </items>
    </pivotField>
    <pivotField dataField="1" showAll="0">
      <items count="9">
        <item x="5"/>
        <item x="7"/>
        <item x="4"/>
        <item x="6"/>
        <item x="3"/>
        <item x="1"/>
        <item x="2"/>
        <item x="0"/>
        <item t="default"/>
      </items>
    </pivotField>
    <pivotField showAll="0"/>
    <pivotField showAll="0"/>
  </pivotFields>
  <rowItems count="1">
    <i/>
  </rowItems>
  <colFields count="3">
    <field x="1"/>
    <field x="4"/>
    <field x="-2"/>
  </colFields>
  <colItems count="171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2" i="10">
      <x v="10"/>
    </i>
    <i r="2" i="11">
      <x v="11"/>
    </i>
    <i r="2" i="12">
      <x v="12"/>
    </i>
    <i r="2" i="13">
      <x v="13"/>
    </i>
    <i r="2" i="14">
      <x v="14"/>
    </i>
    <i r="2" i="15">
      <x v="15"/>
    </i>
    <i r="2" i="16">
      <x v="16"/>
    </i>
    <i r="2" i="17">
      <x v="17"/>
    </i>
    <i r="2" i="18">
      <x v="18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2" i="10">
      <x v="10"/>
    </i>
    <i r="2" i="11">
      <x v="11"/>
    </i>
    <i r="2" i="12">
      <x v="12"/>
    </i>
    <i r="2" i="13">
      <x v="13"/>
    </i>
    <i r="2" i="14">
      <x v="14"/>
    </i>
    <i r="2" i="15">
      <x v="15"/>
    </i>
    <i r="2" i="16">
      <x v="16"/>
    </i>
    <i r="2" i="17">
      <x v="17"/>
    </i>
    <i r="2" i="18">
      <x v="18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2" i="10">
      <x v="10"/>
    </i>
    <i r="2" i="11">
      <x v="11"/>
    </i>
    <i r="2" i="12">
      <x v="12"/>
    </i>
    <i r="2" i="13">
      <x v="13"/>
    </i>
    <i r="2" i="14">
      <x v="14"/>
    </i>
    <i r="2" i="15">
      <x v="15"/>
    </i>
    <i r="2" i="16">
      <x v="16"/>
    </i>
    <i r="2" i="17">
      <x v="17"/>
    </i>
    <i r="2" i="18">
      <x v="18"/>
    </i>
    <i t="default">
      <x/>
    </i>
    <i t="default" i="1">
      <x/>
    </i>
    <i t="default" i="2">
      <x/>
    </i>
    <i t="default" i="3">
      <x/>
    </i>
    <i t="default" i="4">
      <x/>
    </i>
    <i t="default" i="5">
      <x/>
    </i>
    <i t="default" i="6">
      <x/>
    </i>
    <i t="default" i="7">
      <x/>
    </i>
    <i t="default" i="8">
      <x/>
    </i>
    <i t="default" i="9">
      <x/>
    </i>
    <i t="default" i="10">
      <x/>
    </i>
    <i t="default" i="11">
      <x/>
    </i>
    <i t="default" i="12">
      <x/>
    </i>
    <i t="default" i="13">
      <x/>
    </i>
    <i t="default" i="14">
      <x/>
    </i>
    <i t="default" i="15">
      <x/>
    </i>
    <i t="default" i="16">
      <x/>
    </i>
    <i t="default" i="17">
      <x/>
    </i>
    <i t="default" i="18">
      <x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2" i="10">
      <x v="10"/>
    </i>
    <i r="2" i="11">
      <x v="11"/>
    </i>
    <i r="2" i="12">
      <x v="12"/>
    </i>
    <i r="2" i="13">
      <x v="13"/>
    </i>
    <i r="2" i="14">
      <x v="14"/>
    </i>
    <i r="2" i="15">
      <x v="15"/>
    </i>
    <i r="2" i="16">
      <x v="16"/>
    </i>
    <i r="2" i="17">
      <x v="17"/>
    </i>
    <i r="2" i="18">
      <x v="18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2" i="10">
      <x v="10"/>
    </i>
    <i r="2" i="11">
      <x v="11"/>
    </i>
    <i r="2" i="12">
      <x v="12"/>
    </i>
    <i r="2" i="13">
      <x v="13"/>
    </i>
    <i r="2" i="14">
      <x v="14"/>
    </i>
    <i r="2" i="15">
      <x v="15"/>
    </i>
    <i r="2" i="16">
      <x v="16"/>
    </i>
    <i r="2" i="17">
      <x v="17"/>
    </i>
    <i r="2" i="18">
      <x v="18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 r="2" i="6">
      <x v="6"/>
    </i>
    <i r="2" i="7">
      <x v="7"/>
    </i>
    <i r="2" i="8">
      <x v="8"/>
    </i>
    <i r="2" i="9">
      <x v="9"/>
    </i>
    <i r="2" i="10">
      <x v="10"/>
    </i>
    <i r="2" i="11">
      <x v="11"/>
    </i>
    <i r="2" i="12">
      <x v="12"/>
    </i>
    <i r="2" i="13">
      <x v="13"/>
    </i>
    <i r="2" i="14">
      <x v="14"/>
    </i>
    <i r="2" i="15">
      <x v="15"/>
    </i>
    <i r="2" i="16">
      <x v="16"/>
    </i>
    <i r="2" i="17">
      <x v="17"/>
    </i>
    <i r="2" i="18">
      <x v="18"/>
    </i>
    <i t="default">
      <x v="1"/>
    </i>
    <i t="default" i="1">
      <x v="1"/>
    </i>
    <i t="default" i="2">
      <x v="1"/>
    </i>
    <i t="default" i="3">
      <x v="1"/>
    </i>
    <i t="default" i="4">
      <x v="1"/>
    </i>
    <i t="default" i="5">
      <x v="1"/>
    </i>
    <i t="default" i="6">
      <x v="1"/>
    </i>
    <i t="default" i="7">
      <x v="1"/>
    </i>
    <i t="default" i="8">
      <x v="1"/>
    </i>
    <i t="default" i="9">
      <x v="1"/>
    </i>
    <i t="default" i="10">
      <x v="1"/>
    </i>
    <i t="default" i="11">
      <x v="1"/>
    </i>
    <i t="default" i="12">
      <x v="1"/>
    </i>
    <i t="default" i="13">
      <x v="1"/>
    </i>
    <i t="default" i="14">
      <x v="1"/>
    </i>
    <i t="default" i="15">
      <x v="1"/>
    </i>
    <i t="default" i="16">
      <x v="1"/>
    </i>
    <i t="default" i="17">
      <x v="1"/>
    </i>
    <i t="default" i="18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  <i t="grand" i="16">
      <x/>
    </i>
    <i t="grand" i="17">
      <x/>
    </i>
    <i t="grand" i="18">
      <x/>
    </i>
  </colItems>
  <dataFields count="19">
    <dataField name="Sum of TET..A_inv10" fld="46" baseField="0" baseItem="0"/>
    <dataField name="Sum of TET..B_inv10" fld="47" baseField="0" baseItem="0"/>
    <dataField name="Sum of TET..Y_inv10" fld="48" baseField="0" baseItem="0"/>
    <dataField name="Sum of TET..K_inv10" fld="49" baseField="0" baseItem="0"/>
    <dataField name="Sum of TET..M_inv10" fld="50" baseField="0" baseItem="0"/>
    <dataField name="Sum of TET..Q_inv10" fld="51" baseField="0" baseItem="0"/>
    <dataField name="Sum of TET..S_inv10" fld="52" baseField="0" baseItem="0"/>
    <dataField name="Sum of TET..W_inv10" fld="53" baseField="0" baseItem="0"/>
    <dataField name="Sum of sulII_inv10" fld="55" baseField="0" baseItem="0"/>
    <dataField name="Sum of sulI_inv10" fld="54" baseField="0" baseItem="0"/>
    <dataField name="Sum of str_inv10" fld="56" baseField="0" baseItem="0"/>
    <dataField name="Sum of aadA_inv10" fld="57" baseField="0" baseItem="0"/>
    <dataField name="Sum of catI_inv10" fld="58" baseField="4" baseItem="0"/>
    <dataField name="Sum of ermB_inv10" fld="60" baseField="0" baseItem="0"/>
    <dataField name="Sum of ermF_inv10" fld="61" baseField="0" baseItem="0"/>
    <dataField name="Sum of qnrB_inv10" fld="62" baseField="0" baseItem="0"/>
    <dataField name="Sum of qnrS_inv10" fld="63" baseField="0" baseItem="0"/>
    <dataField name="Sum of blaTEM_inv10" fld="64" baseField="4" baseItem="0"/>
    <dataField name="Sum of mcr.1_inv10" fld="6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BE7B-A47F-4F9C-B6E1-3D743E174F19}">
  <dimension ref="A3:M9"/>
  <sheetViews>
    <sheetView workbookViewId="0">
      <selection activeCell="F27" sqref="F27"/>
    </sheetView>
  </sheetViews>
  <sheetFormatPr defaultRowHeight="14.4" x14ac:dyDescent="0.3"/>
  <cols>
    <col min="1" max="1" width="12.44140625" bestFit="1" customWidth="1"/>
    <col min="2" max="2" width="17.6640625" bestFit="1" customWidth="1"/>
    <col min="3" max="3" width="17.5546875" bestFit="1" customWidth="1"/>
    <col min="4" max="4" width="12.6640625" bestFit="1" customWidth="1"/>
    <col min="5" max="5" width="9.77734375" bestFit="1" customWidth="1"/>
    <col min="6" max="6" width="17.6640625" bestFit="1" customWidth="1"/>
    <col min="7" max="7" width="17.5546875" bestFit="1" customWidth="1"/>
    <col min="8" max="8" width="12.6640625" bestFit="1" customWidth="1"/>
    <col min="9" max="9" width="9.77734375" bestFit="1" customWidth="1"/>
    <col min="10" max="10" width="22.21875" bestFit="1" customWidth="1"/>
    <col min="11" max="11" width="22.109375" bestFit="1" customWidth="1"/>
    <col min="12" max="12" width="17.33203125" bestFit="1" customWidth="1"/>
    <col min="13" max="13" width="14.33203125" bestFit="1" customWidth="1"/>
    <col min="14" max="14" width="17.6640625" bestFit="1" customWidth="1"/>
    <col min="15" max="15" width="22.109375" bestFit="1" customWidth="1"/>
    <col min="16" max="16" width="22" bestFit="1" customWidth="1"/>
    <col min="17" max="17" width="22.21875" bestFit="1" customWidth="1"/>
    <col min="18" max="18" width="22.109375" bestFit="1" customWidth="1"/>
    <col min="19" max="28" width="15.77734375" bestFit="1" customWidth="1"/>
    <col min="29" max="29" width="15.44140625" bestFit="1" customWidth="1"/>
    <col min="30" max="30" width="19.21875" bestFit="1" customWidth="1"/>
    <col min="31" max="31" width="20.21875" bestFit="1" customWidth="1"/>
    <col min="32" max="32" width="15.44140625" bestFit="1" customWidth="1"/>
    <col min="33" max="33" width="15.5546875" bestFit="1" customWidth="1"/>
    <col min="34" max="34" width="19.33203125" bestFit="1" customWidth="1"/>
    <col min="35" max="35" width="20.33203125" bestFit="1" customWidth="1"/>
    <col min="36" max="36" width="15.5546875" bestFit="1" customWidth="1"/>
  </cols>
  <sheetData>
    <row r="3" spans="1:13" x14ac:dyDescent="0.3">
      <c r="B3" s="2" t="s">
        <v>149</v>
      </c>
    </row>
    <row r="4" spans="1:13" x14ac:dyDescent="0.3">
      <c r="B4">
        <v>2020</v>
      </c>
      <c r="F4">
        <v>2021</v>
      </c>
      <c r="J4" t="s">
        <v>152</v>
      </c>
      <c r="K4" t="s">
        <v>154</v>
      </c>
      <c r="L4" t="s">
        <v>156</v>
      </c>
      <c r="M4" t="s">
        <v>158</v>
      </c>
    </row>
    <row r="5" spans="1:13" x14ac:dyDescent="0.3">
      <c r="A5" s="2" t="s">
        <v>147</v>
      </c>
      <c r="B5" t="s">
        <v>153</v>
      </c>
      <c r="C5" t="s">
        <v>155</v>
      </c>
      <c r="D5" t="s">
        <v>157</v>
      </c>
      <c r="E5" t="s">
        <v>159</v>
      </c>
      <c r="F5" t="s">
        <v>153</v>
      </c>
      <c r="G5" t="s">
        <v>155</v>
      </c>
      <c r="H5" t="s">
        <v>157</v>
      </c>
      <c r="I5" t="s">
        <v>159</v>
      </c>
    </row>
    <row r="6" spans="1:13" x14ac:dyDescent="0.3">
      <c r="A6" s="3">
        <v>1</v>
      </c>
      <c r="B6" s="4">
        <v>20.333333333333332</v>
      </c>
      <c r="C6" s="4" t="e">
        <v>#DIV/0!</v>
      </c>
      <c r="D6" s="4">
        <v>6.0714285714285712</v>
      </c>
      <c r="E6" s="4">
        <v>9</v>
      </c>
      <c r="F6" s="4">
        <v>55</v>
      </c>
      <c r="G6" s="4">
        <v>0.12280710584210523</v>
      </c>
      <c r="H6" s="4">
        <v>8.5588235294117645</v>
      </c>
      <c r="I6" s="4">
        <v>26</v>
      </c>
      <c r="J6" s="4">
        <v>46.085714285714289</v>
      </c>
      <c r="K6" s="4">
        <v>0.12280710584210523</v>
      </c>
      <c r="L6" s="4">
        <v>7.833333333333333</v>
      </c>
      <c r="M6" s="4">
        <v>35</v>
      </c>
    </row>
    <row r="7" spans="1:13" x14ac:dyDescent="0.3">
      <c r="A7" s="3">
        <v>2</v>
      </c>
      <c r="B7" s="4">
        <v>51.16</v>
      </c>
      <c r="C7" s="4" t="e">
        <v>#DIV/0!</v>
      </c>
      <c r="D7" s="4">
        <v>8.0238095238095237</v>
      </c>
      <c r="E7" s="4">
        <v>25</v>
      </c>
      <c r="F7" s="4">
        <v>62.260869565217391</v>
      </c>
      <c r="G7" s="4">
        <v>0.14969145144444443</v>
      </c>
      <c r="H7" s="4">
        <v>8.46875</v>
      </c>
      <c r="I7" s="4">
        <v>23</v>
      </c>
      <c r="J7" s="4">
        <v>56.479166666666664</v>
      </c>
      <c r="K7" s="4">
        <v>0.14969145144444443</v>
      </c>
      <c r="L7" s="4">
        <v>8.2162162162162158</v>
      </c>
      <c r="M7" s="4">
        <v>48</v>
      </c>
    </row>
    <row r="8" spans="1:13" x14ac:dyDescent="0.3">
      <c r="A8" s="3">
        <v>3</v>
      </c>
      <c r="B8" s="4">
        <v>63.631578947368418</v>
      </c>
      <c r="C8" s="4" t="e">
        <v>#DIV/0!</v>
      </c>
      <c r="D8" s="4">
        <v>8.5555555555555554</v>
      </c>
      <c r="E8" s="4">
        <v>19</v>
      </c>
      <c r="F8" s="4">
        <v>63.208333333333336</v>
      </c>
      <c r="G8" s="4">
        <v>0.14327494794736842</v>
      </c>
      <c r="H8" s="4">
        <v>8.0882352941176467</v>
      </c>
      <c r="I8" s="4">
        <v>24</v>
      </c>
      <c r="J8" s="4">
        <v>63.395348837209305</v>
      </c>
      <c r="K8" s="4">
        <v>0.14327494794736842</v>
      </c>
      <c r="L8" s="4">
        <v>8.3285714285714292</v>
      </c>
      <c r="M8" s="4">
        <v>43</v>
      </c>
    </row>
    <row r="9" spans="1:13" x14ac:dyDescent="0.3">
      <c r="A9" s="3" t="s">
        <v>148</v>
      </c>
      <c r="B9" s="4">
        <v>50.39622641509434</v>
      </c>
      <c r="C9" s="4" t="e">
        <v>#DIV/0!</v>
      </c>
      <c r="D9" s="4">
        <v>7.9347826086956523</v>
      </c>
      <c r="E9" s="4">
        <v>53</v>
      </c>
      <c r="F9" s="4">
        <v>59.986301369863014</v>
      </c>
      <c r="G9" s="4">
        <v>0.13839294907142857</v>
      </c>
      <c r="H9" s="4">
        <v>8.3699999999999992</v>
      </c>
      <c r="I9" s="4">
        <v>73</v>
      </c>
      <c r="J9" s="4">
        <v>55.952380952380949</v>
      </c>
      <c r="K9" s="4">
        <v>0.13839294907142857</v>
      </c>
      <c r="L9" s="4">
        <v>8.1614583333333339</v>
      </c>
      <c r="M9" s="4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DA64-4D84-4F09-8E54-2AFA2F093F83}">
  <dimension ref="A3:CC10"/>
  <sheetViews>
    <sheetView topLeftCell="BV1" workbookViewId="0">
      <selection activeCell="K19" sqref="K19"/>
    </sheetView>
  </sheetViews>
  <sheetFormatPr defaultRowHeight="14.4" x14ac:dyDescent="0.3"/>
  <cols>
    <col min="1" max="27" width="15.5546875" bestFit="1" customWidth="1"/>
    <col min="28" max="28" width="14.21875" bestFit="1" customWidth="1"/>
    <col min="29" max="29" width="15.6640625" bestFit="1" customWidth="1"/>
    <col min="30" max="30" width="15.88671875" bestFit="1" customWidth="1"/>
    <col min="31" max="31" width="16.21875" bestFit="1" customWidth="1"/>
    <col min="32" max="32" width="16.33203125" bestFit="1" customWidth="1"/>
    <col min="33" max="33" width="16.6640625" bestFit="1" customWidth="1"/>
    <col min="34" max="34" width="15.88671875" bestFit="1" customWidth="1"/>
    <col min="35" max="35" width="19" bestFit="1" customWidth="1"/>
    <col min="36" max="36" width="15.21875" bestFit="1" customWidth="1"/>
    <col min="37" max="63" width="14.5546875" bestFit="1" customWidth="1"/>
    <col min="64" max="64" width="14.21875" bestFit="1" customWidth="1"/>
    <col min="65" max="65" width="15.6640625" bestFit="1" customWidth="1"/>
    <col min="66" max="66" width="15.88671875" bestFit="1" customWidth="1"/>
    <col min="67" max="67" width="16.21875" bestFit="1" customWidth="1"/>
    <col min="68" max="68" width="16.33203125" bestFit="1" customWidth="1"/>
    <col min="69" max="69" width="16.6640625" bestFit="1" customWidth="1"/>
    <col min="70" max="70" width="15.88671875" bestFit="1" customWidth="1"/>
    <col min="71" max="71" width="19" bestFit="1" customWidth="1"/>
    <col min="72" max="72" width="15.21875" bestFit="1" customWidth="1"/>
    <col min="73" max="73" width="14.33203125" bestFit="1" customWidth="1"/>
    <col min="74" max="74" width="15.77734375" bestFit="1" customWidth="1"/>
    <col min="75" max="75" width="16" bestFit="1" customWidth="1"/>
    <col min="76" max="76" width="16.33203125" bestFit="1" customWidth="1"/>
    <col min="77" max="77" width="16.44140625" bestFit="1" customWidth="1"/>
    <col min="78" max="78" width="16.77734375" bestFit="1" customWidth="1"/>
    <col min="79" max="79" width="16" bestFit="1" customWidth="1"/>
    <col min="80" max="80" width="19.109375" bestFit="1" customWidth="1"/>
    <col min="81" max="81" width="15.33203125" bestFit="1" customWidth="1"/>
    <col min="82" max="82" width="15.77734375" bestFit="1" customWidth="1"/>
    <col min="83" max="83" width="16" bestFit="1" customWidth="1"/>
    <col min="84" max="84" width="16.33203125" bestFit="1" customWidth="1"/>
    <col min="85" max="85" width="16.44140625" bestFit="1" customWidth="1"/>
    <col min="86" max="86" width="16.77734375" bestFit="1" customWidth="1"/>
    <col min="87" max="87" width="16" bestFit="1" customWidth="1"/>
    <col min="88" max="88" width="19.109375" bestFit="1" customWidth="1"/>
    <col min="89" max="89" width="15.33203125" bestFit="1" customWidth="1"/>
    <col min="90" max="90" width="16.21875" bestFit="1" customWidth="1"/>
  </cols>
  <sheetData>
    <row r="3" spans="1:81" x14ac:dyDescent="0.3">
      <c r="A3" s="2" t="s">
        <v>149</v>
      </c>
    </row>
    <row r="4" spans="1:81" x14ac:dyDescent="0.3">
      <c r="A4">
        <v>2020</v>
      </c>
      <c r="AB4" t="s">
        <v>178</v>
      </c>
      <c r="AC4" t="s">
        <v>179</v>
      </c>
      <c r="AD4" t="s">
        <v>180</v>
      </c>
      <c r="AE4" t="s">
        <v>181</v>
      </c>
      <c r="AF4" t="s">
        <v>182</v>
      </c>
      <c r="AG4" t="s">
        <v>183</v>
      </c>
      <c r="AH4" t="s">
        <v>184</v>
      </c>
      <c r="AI4" t="s">
        <v>185</v>
      </c>
      <c r="AJ4" t="s">
        <v>186</v>
      </c>
      <c r="AK4">
        <v>2021</v>
      </c>
      <c r="BL4" t="s">
        <v>187</v>
      </c>
      <c r="BM4" t="s">
        <v>188</v>
      </c>
      <c r="BN4" t="s">
        <v>189</v>
      </c>
      <c r="BO4" t="s">
        <v>190</v>
      </c>
      <c r="BP4" t="s">
        <v>191</v>
      </c>
      <c r="BQ4" t="s">
        <v>192</v>
      </c>
      <c r="BR4" t="s">
        <v>193</v>
      </c>
      <c r="BS4" t="s">
        <v>194</v>
      </c>
      <c r="BT4" t="s">
        <v>195</v>
      </c>
      <c r="BU4" t="s">
        <v>169</v>
      </c>
      <c r="BV4" t="s">
        <v>170</v>
      </c>
      <c r="BW4" t="s">
        <v>171</v>
      </c>
      <c r="BX4" t="s">
        <v>172</v>
      </c>
      <c r="BY4" t="s">
        <v>173</v>
      </c>
      <c r="BZ4" t="s">
        <v>174</v>
      </c>
      <c r="CA4" t="s">
        <v>175</v>
      </c>
      <c r="CB4" t="s">
        <v>176</v>
      </c>
      <c r="CC4" t="s">
        <v>177</v>
      </c>
    </row>
    <row r="5" spans="1:81" x14ac:dyDescent="0.3">
      <c r="A5">
        <v>1</v>
      </c>
      <c r="J5">
        <v>2</v>
      </c>
      <c r="S5">
        <v>3</v>
      </c>
      <c r="AK5">
        <v>1</v>
      </c>
      <c r="AT5">
        <v>2</v>
      </c>
      <c r="BC5">
        <v>3</v>
      </c>
    </row>
    <row r="6" spans="1:81" x14ac:dyDescent="0.3">
      <c r="A6" t="s">
        <v>160</v>
      </c>
      <c r="B6" t="s">
        <v>161</v>
      </c>
      <c r="C6" t="s">
        <v>162</v>
      </c>
      <c r="D6" t="s">
        <v>163</v>
      </c>
      <c r="E6" t="s">
        <v>164</v>
      </c>
      <c r="F6" t="s">
        <v>165</v>
      </c>
      <c r="G6" t="s">
        <v>166</v>
      </c>
      <c r="H6" t="s">
        <v>167</v>
      </c>
      <c r="I6" t="s">
        <v>168</v>
      </c>
      <c r="J6" t="s">
        <v>160</v>
      </c>
      <c r="K6" t="s">
        <v>161</v>
      </c>
      <c r="L6" t="s">
        <v>162</v>
      </c>
      <c r="M6" t="s">
        <v>163</v>
      </c>
      <c r="N6" t="s">
        <v>164</v>
      </c>
      <c r="O6" t="s">
        <v>165</v>
      </c>
      <c r="P6" t="s">
        <v>166</v>
      </c>
      <c r="Q6" t="s">
        <v>167</v>
      </c>
      <c r="R6" t="s">
        <v>168</v>
      </c>
      <c r="S6" t="s">
        <v>160</v>
      </c>
      <c r="T6" t="s">
        <v>161</v>
      </c>
      <c r="U6" t="s">
        <v>162</v>
      </c>
      <c r="V6" t="s">
        <v>163</v>
      </c>
      <c r="W6" t="s">
        <v>164</v>
      </c>
      <c r="X6" t="s">
        <v>165</v>
      </c>
      <c r="Y6" t="s">
        <v>166</v>
      </c>
      <c r="Z6" t="s">
        <v>167</v>
      </c>
      <c r="AA6" t="s">
        <v>168</v>
      </c>
      <c r="AK6" t="s">
        <v>160</v>
      </c>
      <c r="AL6" t="s">
        <v>161</v>
      </c>
      <c r="AM6" t="s">
        <v>162</v>
      </c>
      <c r="AN6" t="s">
        <v>163</v>
      </c>
      <c r="AO6" t="s">
        <v>164</v>
      </c>
      <c r="AP6" t="s">
        <v>165</v>
      </c>
      <c r="AQ6" t="s">
        <v>166</v>
      </c>
      <c r="AR6" t="s">
        <v>167</v>
      </c>
      <c r="AS6" t="s">
        <v>168</v>
      </c>
      <c r="AT6" t="s">
        <v>160</v>
      </c>
      <c r="AU6" t="s">
        <v>161</v>
      </c>
      <c r="AV6" t="s">
        <v>162</v>
      </c>
      <c r="AW6" t="s">
        <v>163</v>
      </c>
      <c r="AX6" t="s">
        <v>164</v>
      </c>
      <c r="AY6" t="s">
        <v>165</v>
      </c>
      <c r="AZ6" t="s">
        <v>166</v>
      </c>
      <c r="BA6" t="s">
        <v>167</v>
      </c>
      <c r="BB6" t="s">
        <v>168</v>
      </c>
      <c r="BC6" t="s">
        <v>160</v>
      </c>
      <c r="BD6" t="s">
        <v>161</v>
      </c>
      <c r="BE6" t="s">
        <v>162</v>
      </c>
      <c r="BF6" t="s">
        <v>163</v>
      </c>
      <c r="BG6" t="s">
        <v>164</v>
      </c>
      <c r="BH6" t="s">
        <v>165</v>
      </c>
      <c r="BI6" t="s">
        <v>166</v>
      </c>
      <c r="BJ6" t="s">
        <v>167</v>
      </c>
      <c r="BK6" t="s">
        <v>168</v>
      </c>
    </row>
    <row r="7" spans="1:81" x14ac:dyDescent="0.3">
      <c r="A7" s="4">
        <v>9</v>
      </c>
      <c r="B7" s="4">
        <v>4</v>
      </c>
      <c r="C7" s="4">
        <v>5</v>
      </c>
      <c r="D7" s="4">
        <v>2</v>
      </c>
      <c r="E7" s="4">
        <v>3</v>
      </c>
      <c r="F7" s="4">
        <v>9</v>
      </c>
      <c r="G7" s="4">
        <v>3</v>
      </c>
      <c r="H7" s="4">
        <v>0</v>
      </c>
      <c r="I7" s="4">
        <v>5</v>
      </c>
      <c r="J7" s="4">
        <v>20</v>
      </c>
      <c r="K7" s="4">
        <v>5</v>
      </c>
      <c r="L7" s="4">
        <v>4</v>
      </c>
      <c r="M7" s="4">
        <v>1</v>
      </c>
      <c r="N7" s="4">
        <v>7</v>
      </c>
      <c r="O7" s="4">
        <v>23</v>
      </c>
      <c r="P7" s="4">
        <v>2</v>
      </c>
      <c r="Q7" s="4">
        <v>1</v>
      </c>
      <c r="R7" s="4">
        <v>10</v>
      </c>
      <c r="S7" s="4">
        <v>17</v>
      </c>
      <c r="T7" s="4">
        <v>11</v>
      </c>
      <c r="U7" s="4">
        <v>6</v>
      </c>
      <c r="V7" s="4">
        <v>0</v>
      </c>
      <c r="W7" s="4">
        <v>2</v>
      </c>
      <c r="X7" s="4">
        <v>15</v>
      </c>
      <c r="Y7" s="4">
        <v>5</v>
      </c>
      <c r="Z7" s="4">
        <v>1</v>
      </c>
      <c r="AA7" s="4">
        <v>12</v>
      </c>
      <c r="AB7" s="4">
        <v>46</v>
      </c>
      <c r="AC7" s="4">
        <v>20</v>
      </c>
      <c r="AD7" s="4">
        <v>15</v>
      </c>
      <c r="AE7" s="4">
        <v>3</v>
      </c>
      <c r="AF7" s="4">
        <v>12</v>
      </c>
      <c r="AG7" s="4">
        <v>47</v>
      </c>
      <c r="AH7" s="4">
        <v>10</v>
      </c>
      <c r="AI7" s="4">
        <v>2</v>
      </c>
      <c r="AJ7" s="4">
        <v>27</v>
      </c>
      <c r="AK7" s="4">
        <v>20</v>
      </c>
      <c r="AL7" s="4">
        <v>5</v>
      </c>
      <c r="AM7" s="4">
        <v>9</v>
      </c>
      <c r="AN7" s="4">
        <v>1</v>
      </c>
      <c r="AO7" s="4">
        <v>6</v>
      </c>
      <c r="AP7" s="4">
        <v>26</v>
      </c>
      <c r="AQ7" s="4">
        <v>5</v>
      </c>
      <c r="AR7" s="4">
        <v>2</v>
      </c>
      <c r="AS7" s="4">
        <v>12</v>
      </c>
      <c r="AT7" s="4">
        <v>13</v>
      </c>
      <c r="AU7" s="4">
        <v>8</v>
      </c>
      <c r="AV7" s="4">
        <v>11</v>
      </c>
      <c r="AW7" s="4">
        <v>0</v>
      </c>
      <c r="AX7" s="4">
        <v>2</v>
      </c>
      <c r="AY7" s="4">
        <v>22</v>
      </c>
      <c r="AZ7" s="4">
        <v>3</v>
      </c>
      <c r="BA7" s="4">
        <v>3</v>
      </c>
      <c r="BB7" s="4">
        <v>11</v>
      </c>
      <c r="BC7" s="4">
        <v>16</v>
      </c>
      <c r="BD7" s="4">
        <v>9</v>
      </c>
      <c r="BE7" s="4">
        <v>12</v>
      </c>
      <c r="BF7" s="4">
        <v>1</v>
      </c>
      <c r="BG7" s="4">
        <v>5</v>
      </c>
      <c r="BH7" s="4">
        <v>24</v>
      </c>
      <c r="BI7" s="4">
        <v>10</v>
      </c>
      <c r="BJ7" s="4">
        <v>1</v>
      </c>
      <c r="BK7" s="4">
        <v>16</v>
      </c>
      <c r="BL7" s="4">
        <v>49</v>
      </c>
      <c r="BM7" s="4">
        <v>22</v>
      </c>
      <c r="BN7" s="4">
        <v>32</v>
      </c>
      <c r="BO7" s="4">
        <v>2</v>
      </c>
      <c r="BP7" s="4">
        <v>13</v>
      </c>
      <c r="BQ7" s="4">
        <v>72</v>
      </c>
      <c r="BR7" s="4">
        <v>18</v>
      </c>
      <c r="BS7" s="4">
        <v>6</v>
      </c>
      <c r="BT7" s="4">
        <v>39</v>
      </c>
      <c r="BU7" s="4">
        <v>95</v>
      </c>
      <c r="BV7" s="4">
        <v>42</v>
      </c>
      <c r="BW7" s="4">
        <v>47</v>
      </c>
      <c r="BX7" s="4">
        <v>5</v>
      </c>
      <c r="BY7" s="4">
        <v>25</v>
      </c>
      <c r="BZ7" s="4">
        <v>119</v>
      </c>
      <c r="CA7" s="4">
        <v>28</v>
      </c>
      <c r="CB7" s="4">
        <v>8</v>
      </c>
      <c r="CC7" s="4">
        <v>66</v>
      </c>
    </row>
    <row r="10" spans="1:81" ht="10.199999999999999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A9FE-F85C-4059-8EF5-9C0A2796B951}">
  <dimension ref="A3:FO41"/>
  <sheetViews>
    <sheetView topLeftCell="FI1" workbookViewId="0">
      <selection activeCell="FN7" sqref="FN7"/>
    </sheetView>
  </sheetViews>
  <sheetFormatPr defaultRowHeight="14.4" x14ac:dyDescent="0.3"/>
  <cols>
    <col min="1" max="57" width="18.44140625" bestFit="1" customWidth="1"/>
    <col min="58" max="59" width="21.88671875" bestFit="1" customWidth="1"/>
    <col min="60" max="60" width="21.77734375" bestFit="1" customWidth="1"/>
    <col min="61" max="61" width="21.88671875" bestFit="1" customWidth="1"/>
    <col min="62" max="62" width="22.21875" bestFit="1" customWidth="1"/>
    <col min="63" max="63" width="22.109375" bestFit="1" customWidth="1"/>
    <col min="64" max="64" width="21.88671875" bestFit="1" customWidth="1"/>
    <col min="65" max="65" width="22.44140625" bestFit="1" customWidth="1"/>
    <col min="66" max="66" width="20.33203125" bestFit="1" customWidth="1"/>
    <col min="67" max="67" width="19.77734375" bestFit="1" customWidth="1"/>
    <col min="68" max="68" width="19" bestFit="1" customWidth="1"/>
    <col min="69" max="69" width="21" bestFit="1" customWidth="1"/>
    <col min="70" max="70" width="20" bestFit="1" customWidth="1"/>
    <col min="71" max="71" width="21.33203125" bestFit="1" customWidth="1"/>
    <col min="72" max="72" width="21.109375" bestFit="1" customWidth="1"/>
    <col min="73" max="74" width="20.6640625" bestFit="1" customWidth="1"/>
    <col min="75" max="75" width="22.88671875" bestFit="1" customWidth="1"/>
    <col min="76" max="76" width="21.77734375" bestFit="1" customWidth="1"/>
    <col min="77" max="133" width="18.44140625" bestFit="1" customWidth="1"/>
    <col min="134" max="135" width="21.88671875" bestFit="1" customWidth="1"/>
    <col min="136" max="136" width="21.77734375" bestFit="1" customWidth="1"/>
    <col min="137" max="137" width="21.88671875" bestFit="1" customWidth="1"/>
    <col min="138" max="138" width="22.21875" bestFit="1" customWidth="1"/>
    <col min="139" max="139" width="22.109375" bestFit="1" customWidth="1"/>
    <col min="140" max="140" width="21.88671875" bestFit="1" customWidth="1"/>
    <col min="141" max="141" width="22.44140625" bestFit="1" customWidth="1"/>
    <col min="142" max="142" width="20.33203125" bestFit="1" customWidth="1"/>
    <col min="143" max="143" width="19.77734375" bestFit="1" customWidth="1"/>
    <col min="144" max="144" width="19" bestFit="1" customWidth="1"/>
    <col min="145" max="145" width="21" bestFit="1" customWidth="1"/>
    <col min="146" max="146" width="20" bestFit="1" customWidth="1"/>
    <col min="147" max="147" width="21.33203125" bestFit="1" customWidth="1"/>
    <col min="148" max="148" width="21.109375" bestFit="1" customWidth="1"/>
    <col min="149" max="150" width="20.6640625" bestFit="1" customWidth="1"/>
    <col min="151" max="151" width="22.88671875" bestFit="1" customWidth="1"/>
    <col min="152" max="152" width="21.77734375" bestFit="1" customWidth="1"/>
    <col min="153" max="154" width="22" bestFit="1" customWidth="1"/>
    <col min="155" max="155" width="21.88671875" bestFit="1" customWidth="1"/>
    <col min="156" max="156" width="22" bestFit="1" customWidth="1"/>
    <col min="157" max="157" width="22.33203125" bestFit="1" customWidth="1"/>
    <col min="158" max="158" width="22.21875" bestFit="1" customWidth="1"/>
    <col min="159" max="159" width="22" bestFit="1" customWidth="1"/>
    <col min="160" max="160" width="22.5546875" bestFit="1" customWidth="1"/>
    <col min="161" max="161" width="20.44140625" bestFit="1" customWidth="1"/>
    <col min="162" max="162" width="19.88671875" bestFit="1" customWidth="1"/>
    <col min="163" max="163" width="19.109375" bestFit="1" customWidth="1"/>
    <col min="164" max="164" width="21.109375" bestFit="1" customWidth="1"/>
    <col min="165" max="165" width="20.109375" bestFit="1" customWidth="1"/>
    <col min="166" max="166" width="21.44140625" bestFit="1" customWidth="1"/>
    <col min="167" max="167" width="21.33203125" bestFit="1" customWidth="1"/>
    <col min="168" max="169" width="20.77734375" bestFit="1" customWidth="1"/>
    <col min="170" max="170" width="23" bestFit="1" customWidth="1"/>
    <col min="171" max="171" width="21.88671875" bestFit="1" customWidth="1"/>
    <col min="172" max="172" width="24" bestFit="1" customWidth="1"/>
    <col min="173" max="173" width="23" bestFit="1" customWidth="1"/>
    <col min="174" max="174" width="21.88671875" bestFit="1" customWidth="1"/>
    <col min="175" max="175" width="24.21875" bestFit="1" customWidth="1"/>
    <col min="176" max="176" width="22.44140625" bestFit="1" customWidth="1"/>
    <col min="177" max="178" width="22" bestFit="1" customWidth="1"/>
    <col min="179" max="179" width="22.88671875" bestFit="1" customWidth="1"/>
    <col min="180" max="180" width="24.6640625" bestFit="1" customWidth="1"/>
  </cols>
  <sheetData>
    <row r="3" spans="1:171" x14ac:dyDescent="0.3">
      <c r="A3" s="2" t="s">
        <v>149</v>
      </c>
    </row>
    <row r="4" spans="1:171" x14ac:dyDescent="0.3">
      <c r="A4">
        <v>2020</v>
      </c>
      <c r="BF4" t="s">
        <v>238</v>
      </c>
      <c r="BG4" t="s">
        <v>204</v>
      </c>
      <c r="BH4" t="s">
        <v>239</v>
      </c>
      <c r="BI4" t="s">
        <v>240</v>
      </c>
      <c r="BJ4" t="s">
        <v>241</v>
      </c>
      <c r="BK4" t="s">
        <v>242</v>
      </c>
      <c r="BL4" t="s">
        <v>243</v>
      </c>
      <c r="BM4" t="s">
        <v>244</v>
      </c>
      <c r="BN4" t="s">
        <v>245</v>
      </c>
      <c r="BO4" t="s">
        <v>246</v>
      </c>
      <c r="BP4" t="s">
        <v>247</v>
      </c>
      <c r="BQ4" t="s">
        <v>248</v>
      </c>
      <c r="BR4" t="s">
        <v>268</v>
      </c>
      <c r="BS4" t="s">
        <v>200</v>
      </c>
      <c r="BT4" t="s">
        <v>249</v>
      </c>
      <c r="BU4" t="s">
        <v>250</v>
      </c>
      <c r="BV4" t="s">
        <v>251</v>
      </c>
      <c r="BW4" t="s">
        <v>278</v>
      </c>
      <c r="BX4" t="s">
        <v>252</v>
      </c>
      <c r="BY4">
        <v>2021</v>
      </c>
      <c r="ED4" t="s">
        <v>253</v>
      </c>
      <c r="EE4" t="s">
        <v>205</v>
      </c>
      <c r="EF4" t="s">
        <v>254</v>
      </c>
      <c r="EG4" t="s">
        <v>255</v>
      </c>
      <c r="EH4" t="s">
        <v>256</v>
      </c>
      <c r="EI4" t="s">
        <v>257</v>
      </c>
      <c r="EJ4" t="s">
        <v>258</v>
      </c>
      <c r="EK4" t="s">
        <v>259</v>
      </c>
      <c r="EL4" t="s">
        <v>260</v>
      </c>
      <c r="EM4" t="s">
        <v>261</v>
      </c>
      <c r="EN4" t="s">
        <v>262</v>
      </c>
      <c r="EO4" t="s">
        <v>263</v>
      </c>
      <c r="EP4" t="s">
        <v>269</v>
      </c>
      <c r="EQ4" t="s">
        <v>201</v>
      </c>
      <c r="ER4" t="s">
        <v>264</v>
      </c>
      <c r="ES4" t="s">
        <v>265</v>
      </c>
      <c r="ET4" t="s">
        <v>266</v>
      </c>
      <c r="EU4" t="s">
        <v>279</v>
      </c>
      <c r="EV4" t="s">
        <v>267</v>
      </c>
      <c r="EW4" t="s">
        <v>208</v>
      </c>
      <c r="EX4" t="s">
        <v>206</v>
      </c>
      <c r="EY4" t="s">
        <v>210</v>
      </c>
      <c r="EZ4" t="s">
        <v>212</v>
      </c>
      <c r="FA4" t="s">
        <v>214</v>
      </c>
      <c r="FB4" t="s">
        <v>216</v>
      </c>
      <c r="FC4" t="s">
        <v>218</v>
      </c>
      <c r="FD4" t="s">
        <v>220</v>
      </c>
      <c r="FE4" t="s">
        <v>222</v>
      </c>
      <c r="FF4" t="s">
        <v>224</v>
      </c>
      <c r="FG4" t="s">
        <v>226</v>
      </c>
      <c r="FH4" t="s">
        <v>228</v>
      </c>
      <c r="FI4" t="s">
        <v>270</v>
      </c>
      <c r="FJ4" t="s">
        <v>202</v>
      </c>
      <c r="FK4" t="s">
        <v>234</v>
      </c>
      <c r="FL4" t="s">
        <v>235</v>
      </c>
      <c r="FM4" t="s">
        <v>236</v>
      </c>
      <c r="FN4" t="s">
        <v>280</v>
      </c>
      <c r="FO4" t="s">
        <v>237</v>
      </c>
    </row>
    <row r="5" spans="1:171" x14ac:dyDescent="0.3">
      <c r="A5">
        <v>1</v>
      </c>
      <c r="T5">
        <v>2</v>
      </c>
      <c r="AM5">
        <v>3</v>
      </c>
      <c r="BY5">
        <v>1</v>
      </c>
      <c r="CR5">
        <v>2</v>
      </c>
      <c r="DK5">
        <v>3</v>
      </c>
    </row>
    <row r="6" spans="1:171" x14ac:dyDescent="0.3">
      <c r="A6" t="s">
        <v>209</v>
      </c>
      <c r="B6" t="s">
        <v>207</v>
      </c>
      <c r="C6" t="s">
        <v>211</v>
      </c>
      <c r="D6" t="s">
        <v>213</v>
      </c>
      <c r="E6" t="s">
        <v>215</v>
      </c>
      <c r="F6" t="s">
        <v>217</v>
      </c>
      <c r="G6" t="s">
        <v>219</v>
      </c>
      <c r="H6" t="s">
        <v>221</v>
      </c>
      <c r="I6" t="s">
        <v>223</v>
      </c>
      <c r="J6" t="s">
        <v>225</v>
      </c>
      <c r="K6" t="s">
        <v>227</v>
      </c>
      <c r="L6" t="s">
        <v>229</v>
      </c>
      <c r="M6" t="s">
        <v>271</v>
      </c>
      <c r="N6" t="s">
        <v>203</v>
      </c>
      <c r="O6" t="s">
        <v>233</v>
      </c>
      <c r="P6" t="s">
        <v>232</v>
      </c>
      <c r="Q6" t="s">
        <v>231</v>
      </c>
      <c r="R6" t="s">
        <v>281</v>
      </c>
      <c r="S6" t="s">
        <v>230</v>
      </c>
      <c r="T6" t="s">
        <v>209</v>
      </c>
      <c r="U6" t="s">
        <v>207</v>
      </c>
      <c r="V6" t="s">
        <v>211</v>
      </c>
      <c r="W6" t="s">
        <v>213</v>
      </c>
      <c r="X6" t="s">
        <v>215</v>
      </c>
      <c r="Y6" t="s">
        <v>217</v>
      </c>
      <c r="Z6" t="s">
        <v>219</v>
      </c>
      <c r="AA6" t="s">
        <v>221</v>
      </c>
      <c r="AB6" t="s">
        <v>223</v>
      </c>
      <c r="AC6" t="s">
        <v>225</v>
      </c>
      <c r="AD6" t="s">
        <v>227</v>
      </c>
      <c r="AE6" t="s">
        <v>229</v>
      </c>
      <c r="AF6" t="s">
        <v>271</v>
      </c>
      <c r="AG6" t="s">
        <v>203</v>
      </c>
      <c r="AH6" t="s">
        <v>233</v>
      </c>
      <c r="AI6" t="s">
        <v>232</v>
      </c>
      <c r="AJ6" t="s">
        <v>231</v>
      </c>
      <c r="AK6" t="s">
        <v>281</v>
      </c>
      <c r="AL6" t="s">
        <v>230</v>
      </c>
      <c r="AM6" t="s">
        <v>209</v>
      </c>
      <c r="AN6" t="s">
        <v>207</v>
      </c>
      <c r="AO6" t="s">
        <v>211</v>
      </c>
      <c r="AP6" t="s">
        <v>213</v>
      </c>
      <c r="AQ6" t="s">
        <v>215</v>
      </c>
      <c r="AR6" t="s">
        <v>217</v>
      </c>
      <c r="AS6" t="s">
        <v>219</v>
      </c>
      <c r="AT6" t="s">
        <v>221</v>
      </c>
      <c r="AU6" t="s">
        <v>223</v>
      </c>
      <c r="AV6" t="s">
        <v>225</v>
      </c>
      <c r="AW6" t="s">
        <v>227</v>
      </c>
      <c r="AX6" t="s">
        <v>229</v>
      </c>
      <c r="AY6" t="s">
        <v>271</v>
      </c>
      <c r="AZ6" t="s">
        <v>203</v>
      </c>
      <c r="BA6" t="s">
        <v>233</v>
      </c>
      <c r="BB6" t="s">
        <v>232</v>
      </c>
      <c r="BC6" t="s">
        <v>231</v>
      </c>
      <c r="BD6" t="s">
        <v>281</v>
      </c>
      <c r="BE6" t="s">
        <v>230</v>
      </c>
      <c r="BY6" t="s">
        <v>209</v>
      </c>
      <c r="BZ6" t="s">
        <v>207</v>
      </c>
      <c r="CA6" t="s">
        <v>211</v>
      </c>
      <c r="CB6" t="s">
        <v>213</v>
      </c>
      <c r="CC6" t="s">
        <v>215</v>
      </c>
      <c r="CD6" t="s">
        <v>217</v>
      </c>
      <c r="CE6" t="s">
        <v>219</v>
      </c>
      <c r="CF6" t="s">
        <v>221</v>
      </c>
      <c r="CG6" t="s">
        <v>223</v>
      </c>
      <c r="CH6" t="s">
        <v>225</v>
      </c>
      <c r="CI6" t="s">
        <v>227</v>
      </c>
      <c r="CJ6" t="s">
        <v>229</v>
      </c>
      <c r="CK6" t="s">
        <v>271</v>
      </c>
      <c r="CL6" t="s">
        <v>203</v>
      </c>
      <c r="CM6" t="s">
        <v>233</v>
      </c>
      <c r="CN6" t="s">
        <v>232</v>
      </c>
      <c r="CO6" t="s">
        <v>231</v>
      </c>
      <c r="CP6" t="s">
        <v>281</v>
      </c>
      <c r="CQ6" t="s">
        <v>230</v>
      </c>
      <c r="CR6" t="s">
        <v>209</v>
      </c>
      <c r="CS6" t="s">
        <v>207</v>
      </c>
      <c r="CT6" t="s">
        <v>211</v>
      </c>
      <c r="CU6" t="s">
        <v>213</v>
      </c>
      <c r="CV6" t="s">
        <v>215</v>
      </c>
      <c r="CW6" t="s">
        <v>217</v>
      </c>
      <c r="CX6" t="s">
        <v>219</v>
      </c>
      <c r="CY6" t="s">
        <v>221</v>
      </c>
      <c r="CZ6" t="s">
        <v>223</v>
      </c>
      <c r="DA6" t="s">
        <v>225</v>
      </c>
      <c r="DB6" t="s">
        <v>227</v>
      </c>
      <c r="DC6" t="s">
        <v>229</v>
      </c>
      <c r="DD6" t="s">
        <v>271</v>
      </c>
      <c r="DE6" t="s">
        <v>203</v>
      </c>
      <c r="DF6" t="s">
        <v>233</v>
      </c>
      <c r="DG6" t="s">
        <v>232</v>
      </c>
      <c r="DH6" t="s">
        <v>231</v>
      </c>
      <c r="DI6" t="s">
        <v>281</v>
      </c>
      <c r="DJ6" t="s">
        <v>230</v>
      </c>
      <c r="DK6" t="s">
        <v>209</v>
      </c>
      <c r="DL6" t="s">
        <v>207</v>
      </c>
      <c r="DM6" t="s">
        <v>211</v>
      </c>
      <c r="DN6" t="s">
        <v>213</v>
      </c>
      <c r="DO6" t="s">
        <v>215</v>
      </c>
      <c r="DP6" t="s">
        <v>217</v>
      </c>
      <c r="DQ6" t="s">
        <v>219</v>
      </c>
      <c r="DR6" t="s">
        <v>221</v>
      </c>
      <c r="DS6" t="s">
        <v>223</v>
      </c>
      <c r="DT6" t="s">
        <v>225</v>
      </c>
      <c r="DU6" t="s">
        <v>227</v>
      </c>
      <c r="DV6" t="s">
        <v>229</v>
      </c>
      <c r="DW6" t="s">
        <v>271</v>
      </c>
      <c r="DX6" t="s">
        <v>203</v>
      </c>
      <c r="DY6" t="s">
        <v>233</v>
      </c>
      <c r="DZ6" t="s">
        <v>232</v>
      </c>
      <c r="EA6" t="s">
        <v>231</v>
      </c>
      <c r="EB6" t="s">
        <v>281</v>
      </c>
      <c r="EC6" t="s">
        <v>230</v>
      </c>
    </row>
    <row r="7" spans="1:171" x14ac:dyDescent="0.3">
      <c r="A7" s="4">
        <v>0</v>
      </c>
      <c r="B7" s="4">
        <v>2.5118864315095801E-4</v>
      </c>
      <c r="C7" s="4">
        <v>0</v>
      </c>
      <c r="D7" s="4">
        <v>0</v>
      </c>
      <c r="E7" s="4">
        <v>0</v>
      </c>
      <c r="F7" s="4">
        <v>1.2589254117941699E-4</v>
      </c>
      <c r="G7" s="4">
        <v>2.5118864315095801E-4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0.63095734448019303</v>
      </c>
      <c r="O7" s="4">
        <v>1.9952623149688798E-3</v>
      </c>
      <c r="P7" s="4">
        <v>3.9810717055349703E-4</v>
      </c>
      <c r="Q7" s="4">
        <v>2.5118864315095801E-4</v>
      </c>
      <c r="R7" s="4">
        <v>0.1378835323643981</v>
      </c>
      <c r="S7" s="4">
        <v>0</v>
      </c>
      <c r="T7" s="4">
        <v>4.1195535008323285E-2</v>
      </c>
      <c r="U7" s="4">
        <v>1.9952623149688801E-4</v>
      </c>
      <c r="V7" s="4">
        <v>1.9952623149688801E-4</v>
      </c>
      <c r="W7" s="4">
        <v>1.5848931924611101E-4</v>
      </c>
      <c r="X7" s="4">
        <v>0</v>
      </c>
      <c r="Y7" s="4">
        <v>0.39387881717302231</v>
      </c>
      <c r="Z7" s="4">
        <v>1.1766942640664683E-2</v>
      </c>
      <c r="AA7" s="4">
        <v>1E-3</v>
      </c>
      <c r="AB7" s="4">
        <v>6.0521604164427431E-3</v>
      </c>
      <c r="AC7" s="4">
        <v>7.9432823472428099E-4</v>
      </c>
      <c r="AD7" s="4">
        <v>8.4633250790169205E-3</v>
      </c>
      <c r="AE7" s="4">
        <v>1.588656469448562E-3</v>
      </c>
      <c r="AF7" s="4">
        <v>3.1622776601683798E-3</v>
      </c>
      <c r="AG7" s="4">
        <v>5.5843177579969393E-2</v>
      </c>
      <c r="AH7" s="4">
        <v>0.17297969432253066</v>
      </c>
      <c r="AI7" s="4">
        <v>3.1622776601683798E-3</v>
      </c>
      <c r="AJ7" s="4">
        <v>0</v>
      </c>
      <c r="AK7" s="4">
        <v>105.07605193219861</v>
      </c>
      <c r="AL7" s="4">
        <v>0</v>
      </c>
      <c r="AM7" s="4">
        <v>4.5071487464784602E-4</v>
      </c>
      <c r="AN7" s="4">
        <v>0</v>
      </c>
      <c r="AO7" s="4">
        <v>5.8062005709970015E-3</v>
      </c>
      <c r="AP7" s="4">
        <v>10.000158489319245</v>
      </c>
      <c r="AQ7" s="4">
        <v>0</v>
      </c>
      <c r="AR7" s="4">
        <v>1.1889138619196413</v>
      </c>
      <c r="AS7" s="4">
        <v>0.98091619122649376</v>
      </c>
      <c r="AT7" s="4">
        <v>0</v>
      </c>
      <c r="AU7" s="4">
        <v>0.82634911849651838</v>
      </c>
      <c r="AV7" s="4">
        <v>5.032562553013479</v>
      </c>
      <c r="AW7" s="4">
        <v>1.9952623149688801E-4</v>
      </c>
      <c r="AX7" s="4">
        <v>0.2246450958119838</v>
      </c>
      <c r="AY7" s="4">
        <v>0</v>
      </c>
      <c r="AZ7" s="4">
        <v>1.2589254117941699E-4</v>
      </c>
      <c r="BA7" s="4">
        <v>3.9810717055349699E-2</v>
      </c>
      <c r="BB7" s="4">
        <v>0.79432823472428105</v>
      </c>
      <c r="BC7" s="4">
        <v>0</v>
      </c>
      <c r="BD7" s="4">
        <v>120.98222507862921</v>
      </c>
      <c r="BE7" s="4">
        <v>0</v>
      </c>
      <c r="BF7" s="4">
        <v>4.164624988297113E-2</v>
      </c>
      <c r="BG7" s="4">
        <v>4.5071487464784602E-4</v>
      </c>
      <c r="BH7" s="4">
        <v>6.0057268024938893E-3</v>
      </c>
      <c r="BI7" s="4">
        <v>10.000316978638491</v>
      </c>
      <c r="BJ7" s="4">
        <v>0</v>
      </c>
      <c r="BK7" s="4">
        <v>1.582918571633843</v>
      </c>
      <c r="BL7" s="4">
        <v>0.99293432251030944</v>
      </c>
      <c r="BM7" s="4">
        <v>1E-3</v>
      </c>
      <c r="BN7" s="4">
        <v>0.83240127891296112</v>
      </c>
      <c r="BO7" s="4">
        <v>5.0333568812482037</v>
      </c>
      <c r="BP7" s="4">
        <v>8.6628513105138083E-3</v>
      </c>
      <c r="BQ7" s="4">
        <v>0.22623375228143236</v>
      </c>
      <c r="BR7" s="4">
        <v>3.1622776601683798E-3</v>
      </c>
      <c r="BS7" s="4">
        <v>0.68692641460134185</v>
      </c>
      <c r="BT7" s="4">
        <v>0.21478567369284923</v>
      </c>
      <c r="BU7" s="4">
        <v>0.7978886195550029</v>
      </c>
      <c r="BV7" s="4">
        <v>2.5118864315095801E-4</v>
      </c>
      <c r="BW7" s="4">
        <v>226.19616054319221</v>
      </c>
      <c r="BX7" s="4">
        <v>0</v>
      </c>
      <c r="BY7" s="4">
        <v>1.2589254117941701E-3</v>
      </c>
      <c r="BZ7" s="4">
        <v>2.2467021467629888</v>
      </c>
      <c r="CA7" s="4">
        <v>0.33786153541526948</v>
      </c>
      <c r="CB7" s="4">
        <v>8.283369557835643</v>
      </c>
      <c r="CC7" s="4">
        <v>3.8327914994784722</v>
      </c>
      <c r="CD7" s="4">
        <v>6.0844336729417435E-2</v>
      </c>
      <c r="CE7" s="4">
        <v>2.4567103991641011</v>
      </c>
      <c r="CF7" s="4">
        <v>0</v>
      </c>
      <c r="CG7" s="4">
        <v>0.65164609680108343</v>
      </c>
      <c r="CH7" s="4">
        <v>0</v>
      </c>
      <c r="CI7" s="4">
        <v>2.4339815569916934E-2</v>
      </c>
      <c r="CJ7" s="4">
        <v>0.47613550073675354</v>
      </c>
      <c r="CK7" s="4">
        <v>1.9952623149688801E-4</v>
      </c>
      <c r="CL7" s="4">
        <v>8.4482596651914571E-2</v>
      </c>
      <c r="CM7" s="4">
        <v>0</v>
      </c>
      <c r="CN7" s="4">
        <v>142.60799074391983</v>
      </c>
      <c r="CO7" s="4">
        <v>2.9952623149688797</v>
      </c>
      <c r="CP7" s="4">
        <v>591.51934234228452</v>
      </c>
      <c r="CQ7" s="4">
        <v>6.4929581370445497</v>
      </c>
      <c r="CR7" s="4">
        <v>0</v>
      </c>
      <c r="CS7" s="4">
        <v>4.482258939162243E-3</v>
      </c>
      <c r="CT7" s="4">
        <v>0.11031271768037344</v>
      </c>
      <c r="CU7" s="4">
        <v>1.794328234724281E-3</v>
      </c>
      <c r="CV7" s="4">
        <v>1.5848931924611101E-4</v>
      </c>
      <c r="CW7" s="4">
        <v>5.3281001022895583E-2</v>
      </c>
      <c r="CX7" s="4">
        <v>2.9166302895275869</v>
      </c>
      <c r="CY7" s="4">
        <v>1.2589254117941699E-4</v>
      </c>
      <c r="CZ7" s="4">
        <v>1.2027704584173993</v>
      </c>
      <c r="DA7" s="4">
        <v>0</v>
      </c>
      <c r="DB7" s="4">
        <v>8.2487139875362575E-2</v>
      </c>
      <c r="DC7" s="4">
        <v>1.8221255788090565</v>
      </c>
      <c r="DD7" s="4">
        <v>0</v>
      </c>
      <c r="DE7" s="4">
        <v>1.6848931924611101E-2</v>
      </c>
      <c r="DF7" s="4">
        <v>0</v>
      </c>
      <c r="DG7" s="4">
        <v>1.0398107170553497</v>
      </c>
      <c r="DH7" s="4">
        <v>5.0118723362727296E-4</v>
      </c>
      <c r="DI7" s="4">
        <v>621.84256871526225</v>
      </c>
      <c r="DJ7" s="4">
        <v>2.519262026701794</v>
      </c>
      <c r="DK7" s="4">
        <v>6.9017550925470836E-3</v>
      </c>
      <c r="DL7" s="4">
        <v>5.1205724685056229</v>
      </c>
      <c r="DM7" s="4">
        <v>6.9833796290363608E-3</v>
      </c>
      <c r="DN7" s="4">
        <v>0.40457749453306074</v>
      </c>
      <c r="DO7" s="4">
        <v>2.1672719869634722</v>
      </c>
      <c r="DP7" s="4">
        <v>3.4166703244998507E-3</v>
      </c>
      <c r="DQ7" s="4">
        <v>5.0947703342641857</v>
      </c>
      <c r="DR7" s="4">
        <v>0</v>
      </c>
      <c r="DS7" s="4">
        <v>3.1753405983071978</v>
      </c>
      <c r="DT7" s="4">
        <v>3.1622776601683798E-3</v>
      </c>
      <c r="DU7" s="4">
        <v>0.92238863387901382</v>
      </c>
      <c r="DV7" s="4">
        <v>4.0577092741176024</v>
      </c>
      <c r="DW7" s="4">
        <v>1</v>
      </c>
      <c r="DX7" s="4">
        <v>1.4422896614998819</v>
      </c>
      <c r="DY7" s="4">
        <v>1.2589254117941701E-3</v>
      </c>
      <c r="DZ7" s="4">
        <v>33.305281393428444</v>
      </c>
      <c r="EA7" s="4">
        <v>85.659550140299999</v>
      </c>
      <c r="EB7" s="4">
        <v>740.98426357668211</v>
      </c>
      <c r="EC7" s="4">
        <v>3.98107170553497</v>
      </c>
      <c r="ED7" s="4">
        <v>8.1606805043412528E-3</v>
      </c>
      <c r="EE7" s="4">
        <v>7.3717568742077741</v>
      </c>
      <c r="EF7" s="4">
        <v>0.45515763272467924</v>
      </c>
      <c r="EG7" s="4">
        <v>8.6897413806034294</v>
      </c>
      <c r="EH7" s="4">
        <v>6.0002219757611908</v>
      </c>
      <c r="EI7" s="4">
        <v>0.11754200807681287</v>
      </c>
      <c r="EJ7" s="4">
        <v>10.468111022955874</v>
      </c>
      <c r="EK7" s="4">
        <v>1.2589254117941699E-4</v>
      </c>
      <c r="EL7" s="4">
        <v>5.0297571535256811</v>
      </c>
      <c r="EM7" s="4">
        <v>3.1622776601683798E-3</v>
      </c>
      <c r="EN7" s="4">
        <v>1.0292155893242934</v>
      </c>
      <c r="EO7" s="4">
        <v>6.3559703536634125</v>
      </c>
      <c r="EP7" s="4">
        <v>1.0001995262314969</v>
      </c>
      <c r="EQ7" s="4">
        <v>1.5436211900764076</v>
      </c>
      <c r="ER7" s="4">
        <v>1.2589254117941701E-3</v>
      </c>
      <c r="ES7" s="4">
        <v>176.95308285440365</v>
      </c>
      <c r="ET7" s="4">
        <v>88.655313642502506</v>
      </c>
      <c r="EU7" s="4">
        <v>1954.3461746342291</v>
      </c>
      <c r="EV7" s="4">
        <v>12.993291869281315</v>
      </c>
      <c r="EW7" s="4">
        <v>4.9806930387312383E-2</v>
      </c>
      <c r="EX7" s="4">
        <v>7.3722075890824215</v>
      </c>
      <c r="EY7" s="4">
        <v>0.46116335952717313</v>
      </c>
      <c r="EZ7" s="4">
        <v>18.69005835924192</v>
      </c>
      <c r="FA7" s="4">
        <v>6.0002219757611908</v>
      </c>
      <c r="FB7" s="4">
        <v>1.7004605797106558</v>
      </c>
      <c r="FC7" s="4">
        <v>11.461045345466182</v>
      </c>
      <c r="FD7" s="4">
        <v>1.1258925411794171E-3</v>
      </c>
      <c r="FE7" s="4">
        <v>5.8621584324386422</v>
      </c>
      <c r="FF7" s="4">
        <v>5.036519158908372</v>
      </c>
      <c r="FG7" s="4">
        <v>1.0378784406348072</v>
      </c>
      <c r="FH7" s="4">
        <v>6.5822041059448448</v>
      </c>
      <c r="FI7" s="4">
        <v>1.0033618038916652</v>
      </c>
      <c r="FJ7" s="4">
        <v>2.2305476046777493</v>
      </c>
      <c r="FK7" s="4">
        <v>0.21604459910464341</v>
      </c>
      <c r="FL7" s="4">
        <v>177.75097147395866</v>
      </c>
      <c r="FM7" s="4">
        <v>88.655564831145654</v>
      </c>
      <c r="FN7" s="4">
        <v>2180.5423351774211</v>
      </c>
      <c r="FO7" s="4">
        <v>12.993291869281315</v>
      </c>
    </row>
    <row r="18" spans="1:162" x14ac:dyDescent="0.3">
      <c r="A18">
        <v>2020</v>
      </c>
      <c r="BC18" t="s">
        <v>238</v>
      </c>
      <c r="BD18" t="s">
        <v>204</v>
      </c>
      <c r="BE18" t="s">
        <v>239</v>
      </c>
      <c r="BF18" t="s">
        <v>240</v>
      </c>
      <c r="BG18" t="s">
        <v>241</v>
      </c>
      <c r="BH18" t="s">
        <v>242</v>
      </c>
      <c r="BI18" t="s">
        <v>243</v>
      </c>
      <c r="BJ18" t="s">
        <v>244</v>
      </c>
      <c r="BK18" t="s">
        <v>245</v>
      </c>
      <c r="BL18" t="s">
        <v>246</v>
      </c>
      <c r="BM18" t="s">
        <v>247</v>
      </c>
      <c r="BN18" t="s">
        <v>248</v>
      </c>
      <c r="BO18" t="s">
        <v>196</v>
      </c>
      <c r="BP18" t="s">
        <v>200</v>
      </c>
      <c r="BQ18" t="s">
        <v>249</v>
      </c>
      <c r="BR18" t="s">
        <v>250</v>
      </c>
      <c r="BS18" t="s">
        <v>251</v>
      </c>
      <c r="BT18" t="s">
        <v>252</v>
      </c>
      <c r="BU18">
        <v>2021</v>
      </c>
      <c r="DW18" t="s">
        <v>253</v>
      </c>
      <c r="DX18" t="s">
        <v>205</v>
      </c>
      <c r="DY18" t="s">
        <v>254</v>
      </c>
      <c r="DZ18" t="s">
        <v>255</v>
      </c>
      <c r="EA18" t="s">
        <v>256</v>
      </c>
      <c r="EB18" t="s">
        <v>257</v>
      </c>
      <c r="EC18" t="s">
        <v>258</v>
      </c>
      <c r="ED18" t="s">
        <v>259</v>
      </c>
      <c r="EE18" t="s">
        <v>260</v>
      </c>
      <c r="EF18" t="s">
        <v>261</v>
      </c>
      <c r="EG18" t="s">
        <v>262</v>
      </c>
      <c r="EH18" t="s">
        <v>263</v>
      </c>
      <c r="EI18" t="s">
        <v>197</v>
      </c>
      <c r="EJ18" t="s">
        <v>201</v>
      </c>
      <c r="EK18" t="s">
        <v>264</v>
      </c>
      <c r="EL18" t="s">
        <v>265</v>
      </c>
      <c r="EM18" t="s">
        <v>266</v>
      </c>
      <c r="EN18" t="s">
        <v>267</v>
      </c>
      <c r="EO18" t="s">
        <v>208</v>
      </c>
      <c r="EP18" t="s">
        <v>206</v>
      </c>
      <c r="EQ18" t="s">
        <v>210</v>
      </c>
      <c r="ER18" t="s">
        <v>212</v>
      </c>
      <c r="ES18" t="s">
        <v>214</v>
      </c>
      <c r="ET18" t="s">
        <v>216</v>
      </c>
      <c r="EU18" t="s">
        <v>218</v>
      </c>
      <c r="EV18" t="s">
        <v>220</v>
      </c>
      <c r="EW18" t="s">
        <v>222</v>
      </c>
      <c r="EX18" t="s">
        <v>224</v>
      </c>
      <c r="EY18" t="s">
        <v>226</v>
      </c>
      <c r="EZ18" t="s">
        <v>228</v>
      </c>
      <c r="FA18" t="s">
        <v>198</v>
      </c>
      <c r="FB18" t="s">
        <v>202</v>
      </c>
      <c r="FC18" t="s">
        <v>234</v>
      </c>
      <c r="FD18" t="s">
        <v>235</v>
      </c>
      <c r="FE18" t="s">
        <v>236</v>
      </c>
      <c r="FF18" t="s">
        <v>237</v>
      </c>
    </row>
    <row r="19" spans="1:162" x14ac:dyDescent="0.3">
      <c r="A19">
        <v>1</v>
      </c>
      <c r="S19">
        <v>2</v>
      </c>
      <c r="AK19">
        <v>3</v>
      </c>
      <c r="BU19">
        <v>1</v>
      </c>
      <c r="CM19">
        <v>2</v>
      </c>
      <c r="DE19">
        <v>3</v>
      </c>
    </row>
    <row r="20" spans="1:162" x14ac:dyDescent="0.3">
      <c r="A20" t="s">
        <v>209</v>
      </c>
      <c r="B20" t="s">
        <v>207</v>
      </c>
      <c r="C20" t="s">
        <v>211</v>
      </c>
      <c r="D20" t="s">
        <v>213</v>
      </c>
      <c r="E20" t="s">
        <v>215</v>
      </c>
      <c r="F20" t="s">
        <v>217</v>
      </c>
      <c r="G20" t="s">
        <v>219</v>
      </c>
      <c r="H20" t="s">
        <v>221</v>
      </c>
      <c r="I20" t="s">
        <v>223</v>
      </c>
      <c r="J20" t="s">
        <v>225</v>
      </c>
      <c r="K20" t="s">
        <v>227</v>
      </c>
      <c r="L20" t="s">
        <v>229</v>
      </c>
      <c r="M20" t="s">
        <v>199</v>
      </c>
      <c r="N20" t="s">
        <v>203</v>
      </c>
      <c r="O20" t="s">
        <v>233</v>
      </c>
      <c r="P20" t="s">
        <v>232</v>
      </c>
      <c r="Q20" t="s">
        <v>231</v>
      </c>
      <c r="R20" t="s">
        <v>230</v>
      </c>
      <c r="S20" t="s">
        <v>209</v>
      </c>
      <c r="T20" t="s">
        <v>207</v>
      </c>
      <c r="U20" t="s">
        <v>211</v>
      </c>
      <c r="V20" t="s">
        <v>213</v>
      </c>
      <c r="W20" t="s">
        <v>215</v>
      </c>
      <c r="X20" t="s">
        <v>217</v>
      </c>
      <c r="Y20" t="s">
        <v>219</v>
      </c>
      <c r="Z20" t="s">
        <v>221</v>
      </c>
      <c r="AA20" t="s">
        <v>223</v>
      </c>
      <c r="AB20" t="s">
        <v>225</v>
      </c>
      <c r="AC20" t="s">
        <v>227</v>
      </c>
      <c r="AD20" t="s">
        <v>229</v>
      </c>
      <c r="AE20" t="s">
        <v>199</v>
      </c>
      <c r="AF20" t="s">
        <v>203</v>
      </c>
      <c r="AG20" t="s">
        <v>233</v>
      </c>
      <c r="AH20" t="s">
        <v>232</v>
      </c>
      <c r="AI20" t="s">
        <v>231</v>
      </c>
      <c r="AJ20" t="s">
        <v>230</v>
      </c>
      <c r="AK20" t="s">
        <v>209</v>
      </c>
      <c r="AL20" t="s">
        <v>207</v>
      </c>
      <c r="AM20" t="s">
        <v>211</v>
      </c>
      <c r="AN20" t="s">
        <v>213</v>
      </c>
      <c r="AO20" t="s">
        <v>215</v>
      </c>
      <c r="AP20" t="s">
        <v>217</v>
      </c>
      <c r="AQ20" t="s">
        <v>219</v>
      </c>
      <c r="AR20" t="s">
        <v>221</v>
      </c>
      <c r="AS20" t="s">
        <v>223</v>
      </c>
      <c r="AT20" t="s">
        <v>225</v>
      </c>
      <c r="AU20" t="s">
        <v>227</v>
      </c>
      <c r="AV20" t="s">
        <v>229</v>
      </c>
      <c r="AW20" t="s">
        <v>199</v>
      </c>
      <c r="AX20" t="s">
        <v>203</v>
      </c>
      <c r="AY20" t="s">
        <v>233</v>
      </c>
      <c r="AZ20" t="s">
        <v>232</v>
      </c>
      <c r="BA20" t="s">
        <v>231</v>
      </c>
      <c r="BB20" t="s">
        <v>230</v>
      </c>
      <c r="BU20" t="s">
        <v>209</v>
      </c>
      <c r="BV20" t="s">
        <v>207</v>
      </c>
      <c r="BW20" t="s">
        <v>211</v>
      </c>
      <c r="BX20" t="s">
        <v>213</v>
      </c>
      <c r="BY20" t="s">
        <v>215</v>
      </c>
      <c r="BZ20" t="s">
        <v>217</v>
      </c>
      <c r="CA20" t="s">
        <v>219</v>
      </c>
      <c r="CB20" t="s">
        <v>221</v>
      </c>
      <c r="CC20" t="s">
        <v>223</v>
      </c>
      <c r="CD20" t="s">
        <v>225</v>
      </c>
      <c r="CE20" t="s">
        <v>227</v>
      </c>
      <c r="CF20" t="s">
        <v>229</v>
      </c>
      <c r="CG20" t="s">
        <v>199</v>
      </c>
      <c r="CH20" t="s">
        <v>203</v>
      </c>
      <c r="CI20" t="s">
        <v>233</v>
      </c>
      <c r="CJ20" t="s">
        <v>232</v>
      </c>
      <c r="CK20" t="s">
        <v>231</v>
      </c>
      <c r="CL20" t="s">
        <v>230</v>
      </c>
      <c r="CM20" t="s">
        <v>209</v>
      </c>
      <c r="CN20" t="s">
        <v>207</v>
      </c>
      <c r="CO20" t="s">
        <v>211</v>
      </c>
      <c r="CP20" t="s">
        <v>213</v>
      </c>
      <c r="CQ20" t="s">
        <v>215</v>
      </c>
      <c r="CR20" t="s">
        <v>217</v>
      </c>
      <c r="CS20" t="s">
        <v>219</v>
      </c>
      <c r="CT20" t="s">
        <v>221</v>
      </c>
      <c r="CU20" t="s">
        <v>223</v>
      </c>
      <c r="CV20" t="s">
        <v>225</v>
      </c>
      <c r="CW20" t="s">
        <v>227</v>
      </c>
      <c r="CX20" t="s">
        <v>229</v>
      </c>
      <c r="CY20" t="s">
        <v>199</v>
      </c>
      <c r="CZ20" t="s">
        <v>203</v>
      </c>
      <c r="DA20" t="s">
        <v>233</v>
      </c>
      <c r="DB20" t="s">
        <v>232</v>
      </c>
      <c r="DC20" t="s">
        <v>231</v>
      </c>
      <c r="DD20" t="s">
        <v>230</v>
      </c>
      <c r="DE20" t="s">
        <v>209</v>
      </c>
      <c r="DF20" t="s">
        <v>207</v>
      </c>
      <c r="DG20" t="s">
        <v>211</v>
      </c>
      <c r="DH20" t="s">
        <v>213</v>
      </c>
      <c r="DI20" t="s">
        <v>215</v>
      </c>
      <c r="DJ20" t="s">
        <v>217</v>
      </c>
      <c r="DK20" t="s">
        <v>219</v>
      </c>
      <c r="DL20" t="s">
        <v>221</v>
      </c>
      <c r="DM20" t="s">
        <v>223</v>
      </c>
      <c r="DN20" t="s">
        <v>225</v>
      </c>
      <c r="DO20" t="s">
        <v>227</v>
      </c>
      <c r="DP20" t="s">
        <v>229</v>
      </c>
      <c r="DQ20" t="s">
        <v>199</v>
      </c>
      <c r="DR20" t="s">
        <v>203</v>
      </c>
      <c r="DS20" t="s">
        <v>233</v>
      </c>
      <c r="DT20" t="s">
        <v>232</v>
      </c>
      <c r="DU20" t="s">
        <v>231</v>
      </c>
      <c r="DV20" t="s">
        <v>230</v>
      </c>
    </row>
    <row r="21" spans="1:162" x14ac:dyDescent="0.3">
      <c r="A21">
        <v>0</v>
      </c>
      <c r="B21">
        <v>2.5118864315095801E-4</v>
      </c>
      <c r="C21">
        <v>0</v>
      </c>
      <c r="D21">
        <v>0</v>
      </c>
      <c r="E21">
        <v>0</v>
      </c>
      <c r="F21">
        <v>1.2589254117941699E-4</v>
      </c>
      <c r="G21">
        <v>2.5118864315095801E-4</v>
      </c>
      <c r="H21">
        <v>0</v>
      </c>
      <c r="I21">
        <v>0</v>
      </c>
      <c r="J21">
        <v>0</v>
      </c>
      <c r="K21">
        <v>0</v>
      </c>
      <c r="L21">
        <v>0</v>
      </c>
      <c r="M21" t="e">
        <v>#DIV/0!</v>
      </c>
      <c r="N21">
        <v>0.63095734448019303</v>
      </c>
      <c r="O21">
        <v>1.9952623149688798E-3</v>
      </c>
      <c r="P21">
        <v>3.9810717055349703E-4</v>
      </c>
      <c r="Q21">
        <v>2.5118864315095801E-4</v>
      </c>
      <c r="R21">
        <v>0</v>
      </c>
      <c r="S21">
        <v>4.1195535008323285E-2</v>
      </c>
      <c r="T21">
        <v>1.9952623149688801E-4</v>
      </c>
      <c r="U21">
        <v>1.9952623149688801E-4</v>
      </c>
      <c r="V21">
        <v>1.5848931924611101E-4</v>
      </c>
      <c r="W21">
        <v>0</v>
      </c>
      <c r="X21">
        <v>0.39387881717302231</v>
      </c>
      <c r="Y21">
        <v>1.1766942640664683E-2</v>
      </c>
      <c r="Z21">
        <v>1E-3</v>
      </c>
      <c r="AA21">
        <v>6.0521604164427431E-3</v>
      </c>
      <c r="AB21">
        <v>7.9432823472428099E-4</v>
      </c>
      <c r="AC21">
        <v>8.4633250790169205E-3</v>
      </c>
      <c r="AD21">
        <v>1.588656469448562E-3</v>
      </c>
      <c r="AE21">
        <v>3.1622776601683798E-3</v>
      </c>
      <c r="AF21">
        <v>5.5843177579969393E-2</v>
      </c>
      <c r="AG21">
        <v>0.17297969432253066</v>
      </c>
      <c r="AH21">
        <v>3.1622776601683798E-3</v>
      </c>
      <c r="AI21">
        <v>0</v>
      </c>
      <c r="AJ21">
        <v>0</v>
      </c>
      <c r="AK21">
        <v>4.5071487464784602E-4</v>
      </c>
      <c r="AL21">
        <v>0</v>
      </c>
      <c r="AM21">
        <v>5.8062005709970015E-3</v>
      </c>
      <c r="AN21">
        <v>10.000158489319245</v>
      </c>
      <c r="AO21">
        <v>0</v>
      </c>
      <c r="AP21">
        <v>1.1889138619196413</v>
      </c>
      <c r="AQ21">
        <v>0.98091619122649376</v>
      </c>
      <c r="AR21">
        <v>0</v>
      </c>
      <c r="AS21">
        <v>0.82634911849651838</v>
      </c>
      <c r="AT21">
        <v>5.032562553013479</v>
      </c>
      <c r="AU21">
        <v>1.9952623149688801E-4</v>
      </c>
      <c r="AV21">
        <v>0.2246450958119838</v>
      </c>
      <c r="AW21" t="e">
        <v>#DIV/0!</v>
      </c>
      <c r="AX21">
        <v>1.2589254117941699E-4</v>
      </c>
      <c r="AY21">
        <v>3.9810717055349699E-2</v>
      </c>
      <c r="AZ21">
        <v>0.79432823472428105</v>
      </c>
      <c r="BA21">
        <v>0</v>
      </c>
      <c r="BB21">
        <v>0</v>
      </c>
      <c r="BC21">
        <v>4.164624988297113E-2</v>
      </c>
      <c r="BD21">
        <v>4.5071487464784602E-4</v>
      </c>
      <c r="BE21">
        <v>6.0057268024938893E-3</v>
      </c>
      <c r="BF21">
        <v>10.000316978638493</v>
      </c>
      <c r="BG21">
        <v>0</v>
      </c>
      <c r="BH21">
        <v>1.5829185716338428</v>
      </c>
      <c r="BI21">
        <v>0.99293432251030944</v>
      </c>
      <c r="BJ21">
        <v>1E-3</v>
      </c>
      <c r="BK21">
        <v>0.83240127891296112</v>
      </c>
      <c r="BL21">
        <v>5.0333568812482037</v>
      </c>
      <c r="BM21">
        <v>8.6628513105138083E-3</v>
      </c>
      <c r="BN21">
        <v>0.22623375228143236</v>
      </c>
      <c r="BO21">
        <v>3.1622776601683798E-3</v>
      </c>
      <c r="BP21">
        <v>0.68692641460134185</v>
      </c>
      <c r="BQ21">
        <v>0.21478567369284923</v>
      </c>
      <c r="BR21">
        <v>0.7978886195550029</v>
      </c>
      <c r="BS21">
        <v>2.5118864315095801E-4</v>
      </c>
      <c r="BT21">
        <v>0</v>
      </c>
      <c r="BU21">
        <v>1.2589254117941701E-3</v>
      </c>
      <c r="BV21">
        <v>2.2467021467629888</v>
      </c>
      <c r="BW21">
        <v>0.33786153541526948</v>
      </c>
      <c r="BX21">
        <v>8.283369557835643</v>
      </c>
      <c r="BY21">
        <v>3.8327914994784722</v>
      </c>
      <c r="BZ21">
        <v>6.0844336729417435E-2</v>
      </c>
      <c r="CA21">
        <v>2.4567103991641011</v>
      </c>
      <c r="CB21">
        <v>0</v>
      </c>
      <c r="CC21">
        <v>0.65164609680108343</v>
      </c>
      <c r="CD21">
        <v>0</v>
      </c>
      <c r="CE21">
        <v>2.4339815569916934E-2</v>
      </c>
      <c r="CF21">
        <v>0.47613550073675354</v>
      </c>
      <c r="CG21">
        <v>1.9952623149688801E-4</v>
      </c>
      <c r="CH21">
        <v>8.4482596651914571E-2</v>
      </c>
      <c r="CI21">
        <v>0</v>
      </c>
      <c r="CJ21">
        <v>142.60799074391983</v>
      </c>
      <c r="CK21">
        <v>2.9952623149688797</v>
      </c>
      <c r="CL21">
        <v>6.4929581370445497</v>
      </c>
      <c r="CM21">
        <v>0</v>
      </c>
      <c r="CN21">
        <v>4.482258939162243E-3</v>
      </c>
      <c r="CO21">
        <v>0.11031271768037344</v>
      </c>
      <c r="CP21">
        <v>1.794328234724281E-3</v>
      </c>
      <c r="CQ21">
        <v>1.5848931924611101E-4</v>
      </c>
      <c r="CR21">
        <v>5.3281001022895583E-2</v>
      </c>
      <c r="CS21">
        <v>2.9166302895275869</v>
      </c>
      <c r="CT21">
        <v>1.2589254117941699E-4</v>
      </c>
      <c r="CU21">
        <v>1.2027704584173993</v>
      </c>
      <c r="CV21">
        <v>0</v>
      </c>
      <c r="CW21">
        <v>8.2487139875362575E-2</v>
      </c>
      <c r="CX21">
        <v>1.8221255788090565</v>
      </c>
      <c r="CY21" t="e">
        <v>#DIV/0!</v>
      </c>
      <c r="CZ21">
        <v>1.6848931924611101E-2</v>
      </c>
      <c r="DA21">
        <v>0</v>
      </c>
      <c r="DB21">
        <v>1.0398107170553497</v>
      </c>
      <c r="DC21">
        <v>5.0118723362727296E-4</v>
      </c>
      <c r="DD21">
        <v>2.519262026701794</v>
      </c>
      <c r="DE21">
        <v>6.9017550925470836E-3</v>
      </c>
      <c r="DF21">
        <v>5.1205724685056229</v>
      </c>
      <c r="DG21">
        <v>6.9833796290363608E-3</v>
      </c>
      <c r="DH21">
        <v>0.40457749453306074</v>
      </c>
      <c r="DI21">
        <v>2.1672719869634722</v>
      </c>
      <c r="DJ21">
        <v>3.4166703244998507E-3</v>
      </c>
      <c r="DK21">
        <v>5.0947703342641857</v>
      </c>
      <c r="DL21">
        <v>0</v>
      </c>
      <c r="DM21">
        <v>3.1753405983071978</v>
      </c>
      <c r="DN21">
        <v>3.1622776601683798E-3</v>
      </c>
      <c r="DO21">
        <v>0.92238863387901382</v>
      </c>
      <c r="DP21">
        <v>4.0577092741176024</v>
      </c>
      <c r="DQ21">
        <v>1</v>
      </c>
      <c r="DR21">
        <v>1.4422896614998819</v>
      </c>
      <c r="DS21">
        <v>1.2589254117941701E-3</v>
      </c>
      <c r="DT21">
        <v>33.305281393428444</v>
      </c>
      <c r="DU21">
        <v>85.659550140299999</v>
      </c>
      <c r="DV21">
        <v>3.98107170553497</v>
      </c>
      <c r="DW21">
        <v>8.1606805043412528E-3</v>
      </c>
      <c r="DX21">
        <v>7.3717568742077741</v>
      </c>
      <c r="DY21">
        <v>0.45515763272467935</v>
      </c>
      <c r="DZ21">
        <v>8.6897413806034258</v>
      </c>
      <c r="EA21">
        <v>6.0002219757611908</v>
      </c>
      <c r="EB21">
        <v>0.11754200807681287</v>
      </c>
      <c r="EC21">
        <v>10.46811102295587</v>
      </c>
      <c r="ED21">
        <v>1.2589254117941699E-4</v>
      </c>
      <c r="EE21">
        <v>5.0297571535256811</v>
      </c>
      <c r="EF21">
        <v>3.1622776601683798E-3</v>
      </c>
      <c r="EG21">
        <v>1.0292155893242934</v>
      </c>
      <c r="EH21">
        <v>6.3559703536634116</v>
      </c>
      <c r="EI21">
        <v>0.50009976311574844</v>
      </c>
      <c r="EJ21">
        <v>1.5436211900764076</v>
      </c>
      <c r="EK21">
        <v>1.2589254117941701E-3</v>
      </c>
      <c r="EL21">
        <v>176.95308285440359</v>
      </c>
      <c r="EM21">
        <v>88.655313642502506</v>
      </c>
      <c r="EN21">
        <v>12.993291869281311</v>
      </c>
      <c r="EO21">
        <v>4.9806930387312383E-2</v>
      </c>
      <c r="EP21">
        <v>7.3722075890824215</v>
      </c>
      <c r="EQ21">
        <v>0.46116335952717324</v>
      </c>
      <c r="ER21">
        <v>18.690058359241927</v>
      </c>
      <c r="ES21">
        <v>6.0002219757611908</v>
      </c>
      <c r="ET21">
        <v>1.7004605797106556</v>
      </c>
      <c r="EU21">
        <v>11.46104534546618</v>
      </c>
      <c r="EV21">
        <v>1.1258925411794171E-3</v>
      </c>
      <c r="EW21">
        <v>5.8621584324386422</v>
      </c>
      <c r="EX21">
        <v>5.036519158908372</v>
      </c>
      <c r="EY21">
        <v>1.0378784406348072</v>
      </c>
      <c r="EZ21">
        <v>6.5822041059448448</v>
      </c>
      <c r="FA21">
        <v>0.33445393463055506</v>
      </c>
      <c r="FB21">
        <v>2.2305476046777493</v>
      </c>
      <c r="FC21">
        <v>0.21604459910464341</v>
      </c>
      <c r="FD21">
        <v>177.7509714739586</v>
      </c>
      <c r="FE21">
        <v>88.655564831145654</v>
      </c>
      <c r="FF21">
        <v>12.993291869281311</v>
      </c>
    </row>
    <row r="23" spans="1:162" x14ac:dyDescent="0.3">
      <c r="D23">
        <v>1</v>
      </c>
      <c r="E23">
        <v>2</v>
      </c>
      <c r="F23">
        <v>3</v>
      </c>
      <c r="G23" t="s">
        <v>150</v>
      </c>
      <c r="H23">
        <v>1</v>
      </c>
      <c r="I23">
        <v>2</v>
      </c>
      <c r="J23">
        <v>3</v>
      </c>
      <c r="K23" t="s">
        <v>151</v>
      </c>
      <c r="L23" t="s">
        <v>148</v>
      </c>
    </row>
    <row r="24" spans="1:162" x14ac:dyDescent="0.3">
      <c r="C24" t="s">
        <v>209</v>
      </c>
      <c r="D24">
        <v>0</v>
      </c>
      <c r="E24">
        <v>4.1195535008323285E-2</v>
      </c>
      <c r="F24">
        <v>4.5071487464784602E-4</v>
      </c>
      <c r="G24">
        <v>4.164624988297113E-2</v>
      </c>
      <c r="H24">
        <v>1.2589254117941701E-3</v>
      </c>
      <c r="I24">
        <v>0</v>
      </c>
      <c r="J24">
        <v>6.9017550925470836E-3</v>
      </c>
      <c r="K24">
        <v>8.1606805043412528E-3</v>
      </c>
      <c r="L24">
        <v>4.9806930387312383E-2</v>
      </c>
    </row>
    <row r="25" spans="1:162" x14ac:dyDescent="0.3">
      <c r="C25" t="s">
        <v>207</v>
      </c>
      <c r="D25">
        <v>2.5118864315095801E-4</v>
      </c>
      <c r="E25">
        <v>1.9952623149688801E-4</v>
      </c>
      <c r="F25">
        <v>0</v>
      </c>
      <c r="G25">
        <v>4.5071487464784602E-4</v>
      </c>
      <c r="H25">
        <v>2.2467021467629888</v>
      </c>
      <c r="I25">
        <v>4.482258939162243E-3</v>
      </c>
      <c r="J25">
        <v>5.1205724685056229</v>
      </c>
      <c r="K25">
        <v>7.3717568742077741</v>
      </c>
      <c r="L25">
        <v>7.3722075890824215</v>
      </c>
    </row>
    <row r="26" spans="1:162" x14ac:dyDescent="0.3">
      <c r="C26" t="s">
        <v>211</v>
      </c>
      <c r="D26">
        <v>0</v>
      </c>
      <c r="E26">
        <v>1.9952623149688801E-4</v>
      </c>
      <c r="F26">
        <v>5.8062005709970015E-3</v>
      </c>
      <c r="G26">
        <v>6.0057268024938893E-3</v>
      </c>
      <c r="H26">
        <v>0.33786153541526948</v>
      </c>
      <c r="I26">
        <v>0.11031271768037344</v>
      </c>
      <c r="J26">
        <v>6.9833796290363608E-3</v>
      </c>
      <c r="K26">
        <v>0.45515763272467935</v>
      </c>
      <c r="L26">
        <v>0.46116335952717324</v>
      </c>
    </row>
    <row r="27" spans="1:162" x14ac:dyDescent="0.3">
      <c r="C27" t="s">
        <v>213</v>
      </c>
      <c r="D27">
        <v>0</v>
      </c>
      <c r="E27">
        <v>1.5848931924611101E-4</v>
      </c>
      <c r="F27">
        <v>10.000158489319245</v>
      </c>
      <c r="G27">
        <v>10.000316978638493</v>
      </c>
      <c r="H27">
        <v>8.283369557835643</v>
      </c>
      <c r="I27">
        <v>1.794328234724281E-3</v>
      </c>
      <c r="J27">
        <v>0.40457749453306074</v>
      </c>
      <c r="K27">
        <v>8.6897413806034258</v>
      </c>
      <c r="L27">
        <v>18.690058359241927</v>
      </c>
    </row>
    <row r="28" spans="1:162" x14ac:dyDescent="0.3">
      <c r="C28" t="s">
        <v>215</v>
      </c>
      <c r="D28">
        <v>0</v>
      </c>
      <c r="E28">
        <v>0</v>
      </c>
      <c r="F28">
        <v>0</v>
      </c>
      <c r="G28">
        <v>0</v>
      </c>
      <c r="H28">
        <v>3.8327914994784722</v>
      </c>
      <c r="I28">
        <v>1.5848931924611101E-4</v>
      </c>
      <c r="J28">
        <v>2.1672719869634722</v>
      </c>
      <c r="K28">
        <v>6.0002219757611908</v>
      </c>
      <c r="L28">
        <v>6.0002219757611908</v>
      </c>
    </row>
    <row r="29" spans="1:162" x14ac:dyDescent="0.3">
      <c r="C29" t="s">
        <v>217</v>
      </c>
      <c r="D29">
        <v>1.2589254117941699E-4</v>
      </c>
      <c r="E29">
        <v>0.39387881717302231</v>
      </c>
      <c r="F29">
        <v>1.1889138619196413</v>
      </c>
      <c r="G29">
        <v>1.5829185716338428</v>
      </c>
      <c r="H29">
        <v>6.0844336729417435E-2</v>
      </c>
      <c r="I29">
        <v>5.3281001022895583E-2</v>
      </c>
      <c r="J29">
        <v>3.4166703244998507E-3</v>
      </c>
      <c r="K29">
        <v>0.11754200807681287</v>
      </c>
      <c r="L29">
        <v>1.7004605797106556</v>
      </c>
    </row>
    <row r="30" spans="1:162" x14ac:dyDescent="0.3">
      <c r="C30" t="s">
        <v>219</v>
      </c>
      <c r="D30">
        <v>2.5118864315095801E-4</v>
      </c>
      <c r="E30">
        <v>1.1766942640664683E-2</v>
      </c>
      <c r="F30">
        <v>0.98091619122649376</v>
      </c>
      <c r="G30">
        <v>0.99293432251030944</v>
      </c>
      <c r="H30">
        <v>2.4567103991641011</v>
      </c>
      <c r="I30">
        <v>2.9166302895275869</v>
      </c>
      <c r="J30">
        <v>5.0947703342641857</v>
      </c>
      <c r="K30">
        <v>10.46811102295587</v>
      </c>
      <c r="L30">
        <v>11.46104534546618</v>
      </c>
    </row>
    <row r="31" spans="1:162" x14ac:dyDescent="0.3">
      <c r="C31" t="s">
        <v>221</v>
      </c>
      <c r="D31">
        <v>0</v>
      </c>
      <c r="E31">
        <v>1E-3</v>
      </c>
      <c r="F31">
        <v>0</v>
      </c>
      <c r="G31">
        <v>1E-3</v>
      </c>
      <c r="H31">
        <v>0</v>
      </c>
      <c r="I31">
        <v>1.2589254117941699E-4</v>
      </c>
      <c r="J31">
        <v>0</v>
      </c>
      <c r="K31">
        <v>1.2589254117941699E-4</v>
      </c>
      <c r="L31">
        <v>1.1258925411794171E-3</v>
      </c>
    </row>
    <row r="32" spans="1:162" x14ac:dyDescent="0.3">
      <c r="C32" t="s">
        <v>223</v>
      </c>
      <c r="D32">
        <v>0</v>
      </c>
      <c r="E32">
        <v>6.0521604164427431E-3</v>
      </c>
      <c r="F32">
        <v>0.82634911849651838</v>
      </c>
      <c r="G32">
        <v>0.83240127891296112</v>
      </c>
      <c r="H32">
        <v>0.65164609680108343</v>
      </c>
      <c r="I32">
        <v>1.2027704584173993</v>
      </c>
      <c r="J32">
        <v>3.1753405983071978</v>
      </c>
      <c r="K32">
        <v>5.0297571535256811</v>
      </c>
      <c r="L32">
        <v>5.8621584324386422</v>
      </c>
    </row>
    <row r="33" spans="3:12" x14ac:dyDescent="0.3">
      <c r="C33" t="s">
        <v>225</v>
      </c>
      <c r="D33">
        <v>0</v>
      </c>
      <c r="E33">
        <v>7.9432823472428099E-4</v>
      </c>
      <c r="F33">
        <v>5.032562553013479</v>
      </c>
      <c r="G33">
        <v>5.0333568812482037</v>
      </c>
      <c r="H33">
        <v>0</v>
      </c>
      <c r="I33">
        <v>0</v>
      </c>
      <c r="J33">
        <v>3.1622776601683798E-3</v>
      </c>
      <c r="K33">
        <v>3.1622776601683798E-3</v>
      </c>
      <c r="L33">
        <v>5.036519158908372</v>
      </c>
    </row>
    <row r="34" spans="3:12" x14ac:dyDescent="0.3">
      <c r="C34" t="s">
        <v>227</v>
      </c>
      <c r="D34">
        <v>0</v>
      </c>
      <c r="E34">
        <v>8.4633250790169205E-3</v>
      </c>
      <c r="F34">
        <v>1.9952623149688801E-4</v>
      </c>
      <c r="G34">
        <v>8.6628513105138083E-3</v>
      </c>
      <c r="H34">
        <v>2.4339815569916934E-2</v>
      </c>
      <c r="I34">
        <v>8.2487139875362575E-2</v>
      </c>
      <c r="J34">
        <v>0.92238863387901382</v>
      </c>
      <c r="K34">
        <v>1.0292155893242934</v>
      </c>
      <c r="L34">
        <v>1.0378784406348072</v>
      </c>
    </row>
    <row r="35" spans="3:12" x14ac:dyDescent="0.3">
      <c r="C35" t="s">
        <v>229</v>
      </c>
      <c r="D35">
        <v>0</v>
      </c>
      <c r="E35">
        <v>1.588656469448562E-3</v>
      </c>
      <c r="F35">
        <v>0.2246450958119838</v>
      </c>
      <c r="G35">
        <v>0.22623375228143236</v>
      </c>
      <c r="H35">
        <v>0.47613550073675354</v>
      </c>
      <c r="I35">
        <v>1.8221255788090565</v>
      </c>
      <c r="J35">
        <v>4.0577092741176024</v>
      </c>
      <c r="K35">
        <v>6.3559703536634116</v>
      </c>
      <c r="L35">
        <v>6.5822041059448448</v>
      </c>
    </row>
    <row r="36" spans="3:12" x14ac:dyDescent="0.3">
      <c r="C36" t="s">
        <v>199</v>
      </c>
      <c r="D36" t="e">
        <v>#DIV/0!</v>
      </c>
      <c r="E36">
        <v>3.1622776601683798E-3</v>
      </c>
      <c r="F36" t="e">
        <v>#DIV/0!</v>
      </c>
      <c r="G36">
        <v>3.1622776601683798E-3</v>
      </c>
      <c r="H36">
        <v>1.9952623149688801E-4</v>
      </c>
      <c r="I36" t="e">
        <v>#DIV/0!</v>
      </c>
      <c r="J36">
        <v>1</v>
      </c>
      <c r="K36">
        <v>0.50009976311574844</v>
      </c>
      <c r="L36">
        <v>0.33445393463055506</v>
      </c>
    </row>
    <row r="37" spans="3:12" x14ac:dyDescent="0.3">
      <c r="C37" t="s">
        <v>203</v>
      </c>
      <c r="D37">
        <v>0.63095734448019303</v>
      </c>
      <c r="E37">
        <v>5.5843177579969393E-2</v>
      </c>
      <c r="F37">
        <v>1.2589254117941699E-4</v>
      </c>
      <c r="G37">
        <v>0.68692641460134185</v>
      </c>
      <c r="H37">
        <v>8.4482596651914571E-2</v>
      </c>
      <c r="I37">
        <v>1.6848931924611101E-2</v>
      </c>
      <c r="J37">
        <v>1.4422896614998819</v>
      </c>
      <c r="K37">
        <v>1.5436211900764076</v>
      </c>
      <c r="L37">
        <v>2.2305476046777493</v>
      </c>
    </row>
    <row r="38" spans="3:12" x14ac:dyDescent="0.3">
      <c r="C38" t="s">
        <v>233</v>
      </c>
      <c r="D38">
        <v>1.9952623149688798E-3</v>
      </c>
      <c r="E38">
        <v>0.17297969432253066</v>
      </c>
      <c r="F38">
        <v>3.9810717055349699E-2</v>
      </c>
      <c r="G38">
        <v>0.21478567369284923</v>
      </c>
      <c r="H38">
        <v>0</v>
      </c>
      <c r="I38">
        <v>0</v>
      </c>
      <c r="J38">
        <v>1.2589254117941701E-3</v>
      </c>
      <c r="K38">
        <v>1.2589254117941701E-3</v>
      </c>
      <c r="L38">
        <v>0.21604459910464341</v>
      </c>
    </row>
    <row r="39" spans="3:12" x14ac:dyDescent="0.3">
      <c r="C39" t="s">
        <v>232</v>
      </c>
      <c r="D39">
        <v>3.9810717055349703E-4</v>
      </c>
      <c r="E39">
        <v>3.1622776601683798E-3</v>
      </c>
      <c r="F39">
        <v>0.79432823472428105</v>
      </c>
      <c r="G39">
        <v>0.7978886195550029</v>
      </c>
      <c r="H39">
        <v>142.60799074391983</v>
      </c>
      <c r="I39">
        <v>1.0398107170553497</v>
      </c>
      <c r="J39">
        <v>33.305281393428444</v>
      </c>
      <c r="K39">
        <v>176.95308285440359</v>
      </c>
      <c r="L39">
        <v>177.7509714739586</v>
      </c>
    </row>
    <row r="40" spans="3:12" x14ac:dyDescent="0.3">
      <c r="C40" t="s">
        <v>231</v>
      </c>
      <c r="D40">
        <v>2.5118864315095801E-4</v>
      </c>
      <c r="E40">
        <v>0</v>
      </c>
      <c r="F40">
        <v>0</v>
      </c>
      <c r="G40">
        <v>2.5118864315095801E-4</v>
      </c>
      <c r="H40">
        <v>2.9952623149688797</v>
      </c>
      <c r="I40">
        <v>5.0118723362727296E-4</v>
      </c>
      <c r="J40">
        <v>85.659550140299999</v>
      </c>
      <c r="K40">
        <v>88.655313642502506</v>
      </c>
      <c r="L40">
        <v>88.655564831145654</v>
      </c>
    </row>
    <row r="41" spans="3:12" x14ac:dyDescent="0.3">
      <c r="C41" t="s">
        <v>230</v>
      </c>
      <c r="D41">
        <v>0</v>
      </c>
      <c r="E41">
        <v>0</v>
      </c>
      <c r="F41">
        <v>0</v>
      </c>
      <c r="G41">
        <v>0</v>
      </c>
      <c r="H41">
        <v>6.4929581370445497</v>
      </c>
      <c r="I41">
        <v>2.519262026701794</v>
      </c>
      <c r="J41">
        <v>3.98107170553497</v>
      </c>
      <c r="K41">
        <v>12.993291869281311</v>
      </c>
      <c r="L41">
        <v>12.993291869281311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4EB5-BBE7-46E3-A245-2410207DB48F}">
  <dimension ref="A1:U35"/>
  <sheetViews>
    <sheetView tabSelected="1" topLeftCell="O12" workbookViewId="0">
      <selection activeCell="M36" sqref="M36"/>
    </sheetView>
  </sheetViews>
  <sheetFormatPr defaultRowHeight="14.4" x14ac:dyDescent="0.3"/>
  <cols>
    <col min="1" max="1" width="10.33203125" customWidth="1"/>
    <col min="5" max="5" width="11.33203125" customWidth="1"/>
    <col min="9" max="9" width="11.33203125" customWidth="1"/>
    <col min="10" max="10" width="12.44140625" customWidth="1"/>
    <col min="13" max="20" width="9.5546875" bestFit="1" customWidth="1"/>
  </cols>
  <sheetData>
    <row r="1" spans="1:21" x14ac:dyDescent="0.3">
      <c r="B1">
        <v>1</v>
      </c>
      <c r="C1">
        <v>2</v>
      </c>
      <c r="D1">
        <v>3</v>
      </c>
      <c r="E1" t="s">
        <v>150</v>
      </c>
      <c r="F1">
        <v>1</v>
      </c>
      <c r="G1">
        <v>2</v>
      </c>
      <c r="H1">
        <v>3</v>
      </c>
      <c r="I1" t="s">
        <v>151</v>
      </c>
      <c r="J1" t="s">
        <v>148</v>
      </c>
      <c r="L1" s="7"/>
      <c r="M1" s="7">
        <v>2020</v>
      </c>
      <c r="N1" s="7"/>
      <c r="O1" s="7"/>
      <c r="P1" s="7"/>
      <c r="Q1" s="7">
        <v>2021</v>
      </c>
      <c r="R1" s="7"/>
      <c r="S1" s="7"/>
      <c r="T1" s="7"/>
      <c r="U1" s="7" t="s">
        <v>148</v>
      </c>
    </row>
    <row r="2" spans="1:21" x14ac:dyDescent="0.3">
      <c r="A2" t="s">
        <v>209</v>
      </c>
      <c r="B2">
        <v>0</v>
      </c>
      <c r="C2">
        <v>4.1195535008323285E-2</v>
      </c>
      <c r="D2">
        <v>4.5071487464784602E-4</v>
      </c>
      <c r="E2">
        <v>4.164624988297113E-2</v>
      </c>
      <c r="F2">
        <v>1.2589254117941701E-3</v>
      </c>
      <c r="G2">
        <v>0</v>
      </c>
      <c r="H2">
        <v>6.9017550925470836E-3</v>
      </c>
      <c r="I2">
        <v>8.1606805043412528E-3</v>
      </c>
      <c r="J2">
        <v>4.9806930387312383E-2</v>
      </c>
      <c r="L2" s="7" t="s">
        <v>283</v>
      </c>
      <c r="M2" s="6">
        <f>E20/$E$21*100</f>
        <v>91.716600892278848</v>
      </c>
      <c r="N2" s="5">
        <f>B20/$B$21*100</f>
        <v>17.857930963675976</v>
      </c>
      <c r="O2" s="5">
        <f>C20/$C$21*100</f>
        <v>99.337806832233298</v>
      </c>
      <c r="P2" s="5">
        <f>D20/$D$21*100</f>
        <v>86.368685874738432</v>
      </c>
      <c r="Q2" s="6">
        <f>I20/$I$21*100</f>
        <v>85.697326112417983</v>
      </c>
      <c r="R2" s="5">
        <f>F20/$F$21*100</f>
        <v>77.619886765878547</v>
      </c>
      <c r="S2" s="5">
        <f>G20/$G$21*100</f>
        <v>98.453073551947568</v>
      </c>
      <c r="T2" s="5">
        <f>H20/$H$21*100</f>
        <v>83.506539455530131</v>
      </c>
      <c r="U2" s="7">
        <f>J20/$J$21*100</f>
        <v>86.290513162228478</v>
      </c>
    </row>
    <row r="3" spans="1:21" x14ac:dyDescent="0.3">
      <c r="A3" t="s">
        <v>207</v>
      </c>
      <c r="B3">
        <v>2.5118864315095801E-4</v>
      </c>
      <c r="C3">
        <v>1.9952623149688801E-4</v>
      </c>
      <c r="D3">
        <v>0</v>
      </c>
      <c r="E3">
        <v>4.5071487464784602E-4</v>
      </c>
      <c r="F3">
        <v>2.2467021467629888</v>
      </c>
      <c r="G3">
        <v>4.482258939162243E-3</v>
      </c>
      <c r="H3">
        <v>5.1205724685056229</v>
      </c>
      <c r="I3">
        <v>7.3717568742077741</v>
      </c>
      <c r="J3">
        <v>7.3722075890824215</v>
      </c>
      <c r="L3" s="7" t="s">
        <v>1</v>
      </c>
      <c r="M3" s="6">
        <f>E2/$E$21*100</f>
        <v>1.6886460274144286E-2</v>
      </c>
      <c r="N3" s="5">
        <f>B2/$B$21*100</f>
        <v>0</v>
      </c>
      <c r="O3" s="5">
        <f>C2/$C$21*100</f>
        <v>3.8945830412888988E-2</v>
      </c>
      <c r="P3" s="5">
        <f>D2/$D$21*100</f>
        <v>3.217633945997598E-4</v>
      </c>
      <c r="Q3" s="6">
        <f>I2/$I$21*100</f>
        <v>3.5784269315065046E-4</v>
      </c>
      <c r="R3" s="5">
        <f>F2/$F$21*100</f>
        <v>1.6519772206131155E-4</v>
      </c>
      <c r="S3" s="5">
        <f>G2/$G$21*100</f>
        <v>0</v>
      </c>
      <c r="T3" s="5">
        <f>H2/$H$21*100</f>
        <v>7.7780556521703421E-4</v>
      </c>
      <c r="U3" s="7">
        <f>J2/$J$21*100</f>
        <v>1.9710076309098021E-3</v>
      </c>
    </row>
    <row r="4" spans="1:21" x14ac:dyDescent="0.3">
      <c r="A4" t="s">
        <v>211</v>
      </c>
      <c r="B4">
        <v>0</v>
      </c>
      <c r="C4">
        <v>1.9952623149688801E-4</v>
      </c>
      <c r="D4">
        <v>5.8062005709970015E-3</v>
      </c>
      <c r="E4">
        <v>6.0057268024938893E-3</v>
      </c>
      <c r="F4">
        <v>0.33786153541526948</v>
      </c>
      <c r="G4">
        <v>0.11031271768037344</v>
      </c>
      <c r="H4">
        <v>6.9833796290363608E-3</v>
      </c>
      <c r="I4">
        <v>0.45515763272467935</v>
      </c>
      <c r="J4">
        <v>0.46116335952717324</v>
      </c>
      <c r="L4" s="7" t="s">
        <v>2</v>
      </c>
      <c r="M4" s="6">
        <f t="shared" ref="M4:M20" si="0">E3/$E$21*100</f>
        <v>1.8275304132050674E-4</v>
      </c>
      <c r="N4" s="5">
        <f t="shared" ref="N4:N20" si="1">B3/$B$21*100</f>
        <v>3.2532597412680372E-2</v>
      </c>
      <c r="O4" s="5">
        <f t="shared" ref="O4:O20" si="2">C3/$C$21*100</f>
        <v>1.8863002442450638E-4</v>
      </c>
      <c r="P4" s="5">
        <f t="shared" ref="P4:P20" si="3">D3/$D$21*100</f>
        <v>0</v>
      </c>
      <c r="Q4" s="6">
        <f t="shared" ref="Q4:Q20" si="4">I3/$I$21*100</f>
        <v>0.32324869619819402</v>
      </c>
      <c r="R4" s="5">
        <f t="shared" ref="R4:R19" si="5">F3/$F$21*100</f>
        <v>0.29481498531875372</v>
      </c>
      <c r="S4" s="5">
        <f t="shared" ref="S4:S20" si="6">G3/$G$21*100</f>
        <v>7.0965255712218645E-4</v>
      </c>
      <c r="T4" s="5">
        <f t="shared" ref="T4:T20" si="7">H3/$H$21*100</f>
        <v>0.57707202149228232</v>
      </c>
      <c r="U4" s="7">
        <f t="shared" ref="U4:U20" si="8">J3/$J$21*100</f>
        <v>0.2917400711454825</v>
      </c>
    </row>
    <row r="5" spans="1:21" x14ac:dyDescent="0.3">
      <c r="A5" t="s">
        <v>213</v>
      </c>
      <c r="B5">
        <v>0</v>
      </c>
      <c r="C5">
        <v>1.5848931924611101E-4</v>
      </c>
      <c r="D5">
        <v>10.000158489319245</v>
      </c>
      <c r="E5">
        <v>10.000316978638493</v>
      </c>
      <c r="F5">
        <v>8.283369557835643</v>
      </c>
      <c r="G5">
        <v>1.794328234724281E-3</v>
      </c>
      <c r="H5">
        <v>0.40457749453306074</v>
      </c>
      <c r="I5">
        <v>8.6897413806034258</v>
      </c>
      <c r="J5">
        <v>18.690058359241927</v>
      </c>
      <c r="L5" s="7" t="s">
        <v>3</v>
      </c>
      <c r="M5" s="6">
        <f t="shared" si="0"/>
        <v>2.4351644470429193E-3</v>
      </c>
      <c r="N5" s="5">
        <f t="shared" si="1"/>
        <v>0</v>
      </c>
      <c r="O5" s="5">
        <f t="shared" si="2"/>
        <v>1.8863002442450638E-4</v>
      </c>
      <c r="P5" s="5">
        <f t="shared" si="3"/>
        <v>4.1450214105109009E-3</v>
      </c>
      <c r="Q5" s="6">
        <f t="shared" si="4"/>
        <v>1.9958486674687123E-2</v>
      </c>
      <c r="R5" s="5">
        <f t="shared" si="5"/>
        <v>4.4334601160521368E-2</v>
      </c>
      <c r="S5" s="5">
        <f t="shared" si="6"/>
        <v>1.7465234215051053E-2</v>
      </c>
      <c r="T5" s="5">
        <f t="shared" si="7"/>
        <v>7.8700438752937307E-4</v>
      </c>
      <c r="U5" s="7">
        <f t="shared" si="8"/>
        <v>1.8249598874208135E-2</v>
      </c>
    </row>
    <row r="6" spans="1:21" x14ac:dyDescent="0.3">
      <c r="A6" t="s">
        <v>215</v>
      </c>
      <c r="B6">
        <v>0</v>
      </c>
      <c r="C6">
        <v>0</v>
      </c>
      <c r="D6">
        <v>0</v>
      </c>
      <c r="E6">
        <v>0</v>
      </c>
      <c r="F6">
        <v>3.8327914994784722</v>
      </c>
      <c r="G6">
        <v>1.5848931924611101E-4</v>
      </c>
      <c r="H6">
        <v>2.1672719869634722</v>
      </c>
      <c r="I6">
        <v>6.0002219757611908</v>
      </c>
      <c r="J6">
        <v>6.0002219757611908</v>
      </c>
      <c r="L6" s="7" t="s">
        <v>4</v>
      </c>
      <c r="M6" s="6">
        <f t="shared" si="0"/>
        <v>4.0548658249702161</v>
      </c>
      <c r="N6" s="5">
        <f t="shared" si="1"/>
        <v>0</v>
      </c>
      <c r="O6" s="5">
        <f t="shared" si="2"/>
        <v>1.4983415431711589E-4</v>
      </c>
      <c r="P6" s="5">
        <f t="shared" si="3"/>
        <v>7.1390697823607834</v>
      </c>
      <c r="Q6" s="6">
        <f t="shared" si="4"/>
        <v>0.38104180855549763</v>
      </c>
      <c r="R6" s="5">
        <f t="shared" si="5"/>
        <v>1.0869538172212139</v>
      </c>
      <c r="S6" s="5">
        <f t="shared" si="6"/>
        <v>2.8408658164818569E-4</v>
      </c>
      <c r="T6" s="5">
        <f t="shared" si="7"/>
        <v>4.5594580304536086E-2</v>
      </c>
      <c r="U6" s="7">
        <f t="shared" si="8"/>
        <v>0.73962091945339814</v>
      </c>
    </row>
    <row r="7" spans="1:21" x14ac:dyDescent="0.3">
      <c r="A7" t="s">
        <v>217</v>
      </c>
      <c r="B7">
        <v>1.2589254117941699E-4</v>
      </c>
      <c r="C7">
        <v>0.39387881717302231</v>
      </c>
      <c r="D7">
        <v>1.1889138619196413</v>
      </c>
      <c r="E7">
        <v>1.5829185716338428</v>
      </c>
      <c r="F7">
        <v>6.0844336729417435E-2</v>
      </c>
      <c r="G7">
        <v>5.3281001022895583E-2</v>
      </c>
      <c r="H7">
        <v>3.4166703244998507E-3</v>
      </c>
      <c r="I7">
        <v>0.11754200807681287</v>
      </c>
      <c r="J7">
        <v>1.7004605797106556</v>
      </c>
      <c r="L7" s="7" t="s">
        <v>5</v>
      </c>
      <c r="M7" s="6">
        <f t="shared" si="0"/>
        <v>0</v>
      </c>
      <c r="N7" s="5">
        <f t="shared" si="1"/>
        <v>0</v>
      </c>
      <c r="O7" s="5">
        <f t="shared" si="2"/>
        <v>0</v>
      </c>
      <c r="P7" s="5">
        <f t="shared" si="3"/>
        <v>0</v>
      </c>
      <c r="Q7" s="6">
        <f t="shared" si="4"/>
        <v>0.26310741979984215</v>
      </c>
      <c r="R7" s="5">
        <f t="shared" si="5"/>
        <v>0.50294355719409611</v>
      </c>
      <c r="S7" s="5">
        <f t="shared" si="6"/>
        <v>2.509278294854132E-5</v>
      </c>
      <c r="T7" s="5">
        <f t="shared" si="7"/>
        <v>0.24424457115545911</v>
      </c>
      <c r="U7" s="7">
        <f t="shared" si="8"/>
        <v>0.23744654025879558</v>
      </c>
    </row>
    <row r="8" spans="1:21" x14ac:dyDescent="0.3">
      <c r="A8" t="s">
        <v>219</v>
      </c>
      <c r="B8">
        <v>2.5118864315095801E-4</v>
      </c>
      <c r="C8">
        <v>1.1766942640664683E-2</v>
      </c>
      <c r="D8">
        <v>0.98091619122649376</v>
      </c>
      <c r="E8">
        <v>0.99293432251030944</v>
      </c>
      <c r="F8">
        <v>2.4567103991641011</v>
      </c>
      <c r="G8">
        <v>2.9166302895275869</v>
      </c>
      <c r="H8">
        <v>5.0947703342641857</v>
      </c>
      <c r="I8">
        <v>10.46811102295587</v>
      </c>
      <c r="J8">
        <v>11.46104534546618</v>
      </c>
      <c r="L8" s="7" t="s">
        <v>6</v>
      </c>
      <c r="M8" s="6">
        <f t="shared" si="0"/>
        <v>0.64183189728277967</v>
      </c>
      <c r="N8" s="5">
        <f t="shared" si="1"/>
        <v>1.6304922499971067E-2</v>
      </c>
      <c r="O8" s="5">
        <f t="shared" si="2"/>
        <v>0.37236893788976155</v>
      </c>
      <c r="P8" s="5">
        <f t="shared" si="3"/>
        <v>0.8487604505994355</v>
      </c>
      <c r="Q8" s="6">
        <f t="shared" si="4"/>
        <v>5.1541717269983382E-3</v>
      </c>
      <c r="R8" s="5">
        <f t="shared" si="5"/>
        <v>7.9840677881832384E-3</v>
      </c>
      <c r="S8" s="5">
        <f t="shared" si="6"/>
        <v>8.4357015369118209E-3</v>
      </c>
      <c r="T8" s="5">
        <f t="shared" si="7"/>
        <v>3.8504773891174469E-4</v>
      </c>
      <c r="U8" s="7">
        <f t="shared" si="8"/>
        <v>6.729225737478467E-2</v>
      </c>
    </row>
    <row r="9" spans="1:21" x14ac:dyDescent="0.3">
      <c r="A9" t="s">
        <v>221</v>
      </c>
      <c r="B9">
        <v>0</v>
      </c>
      <c r="C9">
        <v>1E-3</v>
      </c>
      <c r="D9">
        <v>0</v>
      </c>
      <c r="E9">
        <v>1E-3</v>
      </c>
      <c r="F9">
        <v>0</v>
      </c>
      <c r="G9">
        <v>1.2589254117941699E-4</v>
      </c>
      <c r="H9">
        <v>0</v>
      </c>
      <c r="I9">
        <v>1.2589254117941699E-4</v>
      </c>
      <c r="J9">
        <v>1.1258925411794171E-3</v>
      </c>
      <c r="L9" s="7" t="s">
        <v>7</v>
      </c>
      <c r="M9" s="6">
        <f t="shared" si="0"/>
        <v>0.40260878324030519</v>
      </c>
      <c r="N9" s="5">
        <f t="shared" si="1"/>
        <v>3.2532597412680372E-2</v>
      </c>
      <c r="O9" s="5">
        <f t="shared" si="2"/>
        <v>1.1124345210443989E-2</v>
      </c>
      <c r="P9" s="5">
        <f t="shared" si="3"/>
        <v>0.70027181542101813</v>
      </c>
      <c r="Q9" s="6">
        <f t="shared" si="4"/>
        <v>0.45902263158835904</v>
      </c>
      <c r="R9" s="5">
        <f t="shared" si="5"/>
        <v>0.32237252334739497</v>
      </c>
      <c r="S9" s="5">
        <f t="shared" si="6"/>
        <v>0.46177478169749159</v>
      </c>
      <c r="T9" s="5">
        <f t="shared" si="7"/>
        <v>0.57416420408376001</v>
      </c>
      <c r="U9" s="7">
        <f t="shared" si="8"/>
        <v>0.45354748141378232</v>
      </c>
    </row>
    <row r="10" spans="1:21" x14ac:dyDescent="0.3">
      <c r="A10" t="s">
        <v>223</v>
      </c>
      <c r="B10">
        <v>0</v>
      </c>
      <c r="C10">
        <v>6.0521604164427431E-3</v>
      </c>
      <c r="D10">
        <v>0.82634911849651838</v>
      </c>
      <c r="E10">
        <v>0.83240127891296112</v>
      </c>
      <c r="F10">
        <v>0.65164609680108343</v>
      </c>
      <c r="G10">
        <v>1.2027704584173993</v>
      </c>
      <c r="H10">
        <v>3.1753405983071978</v>
      </c>
      <c r="I10">
        <v>5.0297571535256811</v>
      </c>
      <c r="J10">
        <v>5.8621584324386422</v>
      </c>
      <c r="L10" s="7" t="s">
        <v>8</v>
      </c>
      <c r="M10" s="6">
        <f t="shared" si="0"/>
        <v>4.0547372984593857E-4</v>
      </c>
      <c r="N10" s="5">
        <f t="shared" si="1"/>
        <v>0</v>
      </c>
      <c r="O10" s="5">
        <f t="shared" si="2"/>
        <v>9.453896012036313E-4</v>
      </c>
      <c r="P10" s="5">
        <f t="shared" si="3"/>
        <v>0</v>
      </c>
      <c r="Q10" s="6">
        <f t="shared" si="4"/>
        <v>5.5203393833708536E-6</v>
      </c>
      <c r="R10" s="5">
        <f t="shared" si="5"/>
        <v>0</v>
      </c>
      <c r="S10" s="5">
        <f t="shared" si="6"/>
        <v>1.9931905983834462E-5</v>
      </c>
      <c r="T10" s="5">
        <f t="shared" si="7"/>
        <v>0</v>
      </c>
      <c r="U10" s="7">
        <f t="shared" si="8"/>
        <v>4.4554899749741564E-5</v>
      </c>
    </row>
    <row r="11" spans="1:21" x14ac:dyDescent="0.3">
      <c r="A11" t="s">
        <v>225</v>
      </c>
      <c r="B11">
        <v>0</v>
      </c>
      <c r="C11">
        <v>7.9432823472428099E-4</v>
      </c>
      <c r="D11">
        <v>5.032562553013479</v>
      </c>
      <c r="E11">
        <v>5.0333568812482037</v>
      </c>
      <c r="F11">
        <v>0</v>
      </c>
      <c r="G11">
        <v>0</v>
      </c>
      <c r="H11">
        <v>3.1622776601683798E-3</v>
      </c>
      <c r="I11">
        <v>3.1622776601683798E-3</v>
      </c>
      <c r="J11">
        <v>5.036519158908372</v>
      </c>
      <c r="L11" s="7" t="s">
        <v>10</v>
      </c>
      <c r="M11" s="6">
        <f t="shared" si="0"/>
        <v>0.3375168512893677</v>
      </c>
      <c r="N11" s="5">
        <f t="shared" si="1"/>
        <v>0</v>
      </c>
      <c r="O11" s="5">
        <f t="shared" si="2"/>
        <v>5.7216495225212083E-3</v>
      </c>
      <c r="P11" s="5">
        <f t="shared" si="3"/>
        <v>0.58992705244020194</v>
      </c>
      <c r="Q11" s="6">
        <f t="shared" si="4"/>
        <v>0.22055291158058493</v>
      </c>
      <c r="R11" s="5">
        <f t="shared" si="5"/>
        <v>8.5509792536687917E-2</v>
      </c>
      <c r="S11" s="5">
        <f t="shared" si="6"/>
        <v>0.19042834049352456</v>
      </c>
      <c r="T11" s="5">
        <f t="shared" si="7"/>
        <v>0.35785065620337014</v>
      </c>
      <c r="U11" s="7">
        <f t="shared" si="8"/>
        <v>0.23198295727299267</v>
      </c>
    </row>
    <row r="12" spans="1:21" x14ac:dyDescent="0.3">
      <c r="A12" t="s">
        <v>227</v>
      </c>
      <c r="B12">
        <v>0</v>
      </c>
      <c r="C12">
        <v>8.4633250790169205E-3</v>
      </c>
      <c r="D12">
        <v>1.9952623149688801E-4</v>
      </c>
      <c r="E12">
        <v>8.6628513105138083E-3</v>
      </c>
      <c r="F12">
        <v>2.4339815569916934E-2</v>
      </c>
      <c r="G12">
        <v>8.2487139875362575E-2</v>
      </c>
      <c r="H12">
        <v>0.92238863387901382</v>
      </c>
      <c r="I12">
        <v>1.0292155893242934</v>
      </c>
      <c r="J12">
        <v>1.0378784406348072</v>
      </c>
      <c r="L12" s="7" t="s">
        <v>11</v>
      </c>
      <c r="M12" s="6">
        <f t="shared" si="0"/>
        <v>2.0408939882854296</v>
      </c>
      <c r="N12" s="5">
        <f t="shared" si="1"/>
        <v>0</v>
      </c>
      <c r="O12" s="5">
        <f t="shared" si="2"/>
        <v>7.5094965305077253E-4</v>
      </c>
      <c r="P12" s="5">
        <f t="shared" si="3"/>
        <v>3.5927245841585389</v>
      </c>
      <c r="Q12" s="6">
        <f t="shared" si="4"/>
        <v>1.3866465594417182E-4</v>
      </c>
      <c r="R12" s="5">
        <f t="shared" si="5"/>
        <v>0</v>
      </c>
      <c r="S12" s="5">
        <f t="shared" si="6"/>
        <v>0</v>
      </c>
      <c r="T12" s="5">
        <f t="shared" si="7"/>
        <v>3.563785051568298E-4</v>
      </c>
      <c r="U12" s="7">
        <f t="shared" si="8"/>
        <v>0.19930996787468333</v>
      </c>
    </row>
    <row r="13" spans="1:21" x14ac:dyDescent="0.3">
      <c r="A13" t="s">
        <v>229</v>
      </c>
      <c r="B13">
        <v>0</v>
      </c>
      <c r="C13">
        <v>1.588656469448562E-3</v>
      </c>
      <c r="D13">
        <v>0.2246450958119838</v>
      </c>
      <c r="E13">
        <v>0.22623375228143236</v>
      </c>
      <c r="F13">
        <v>0.47613550073675354</v>
      </c>
      <c r="G13">
        <v>1.8221255788090565</v>
      </c>
      <c r="H13">
        <v>4.0577092741176024</v>
      </c>
      <c r="I13">
        <v>6.3559703536634116</v>
      </c>
      <c r="J13">
        <v>6.5822041059448448</v>
      </c>
      <c r="L13" s="7" t="s">
        <v>12</v>
      </c>
      <c r="M13" s="6">
        <f t="shared" si="0"/>
        <v>3.5125586319748104E-3</v>
      </c>
      <c r="N13" s="5">
        <f t="shared" si="1"/>
        <v>0</v>
      </c>
      <c r="O13" s="5">
        <f t="shared" si="2"/>
        <v>8.001139521308499E-3</v>
      </c>
      <c r="P13" s="5">
        <f t="shared" si="3"/>
        <v>1.424409114704664E-4</v>
      </c>
      <c r="Q13" s="6">
        <f t="shared" si="4"/>
        <v>4.5130706700319316E-2</v>
      </c>
      <c r="R13" s="5">
        <f t="shared" si="5"/>
        <v>3.193900170632286E-3</v>
      </c>
      <c r="S13" s="5">
        <f t="shared" si="6"/>
        <v>1.3059756372126825E-2</v>
      </c>
      <c r="T13" s="5">
        <f t="shared" si="7"/>
        <v>0.1039502276020728</v>
      </c>
      <c r="U13" s="7">
        <f t="shared" si="8"/>
        <v>4.1071921327821399E-2</v>
      </c>
    </row>
    <row r="14" spans="1:21" x14ac:dyDescent="0.3">
      <c r="A14" t="s">
        <v>271</v>
      </c>
      <c r="B14">
        <v>0</v>
      </c>
      <c r="C14">
        <v>3.1622776601683798E-3</v>
      </c>
      <c r="D14">
        <v>0</v>
      </c>
      <c r="E14">
        <v>3.1622776601683798E-3</v>
      </c>
      <c r="F14" s="4">
        <v>1.9952623149688801E-4</v>
      </c>
      <c r="G14">
        <v>0</v>
      </c>
      <c r="H14">
        <v>1</v>
      </c>
      <c r="I14">
        <v>0.50009976311574844</v>
      </c>
      <c r="J14">
        <v>0.33445393463055506</v>
      </c>
      <c r="L14" s="7" t="s">
        <v>13</v>
      </c>
      <c r="M14" s="6">
        <f t="shared" si="0"/>
        <v>9.1731843354594472E-2</v>
      </c>
      <c r="N14" s="5">
        <f t="shared" si="1"/>
        <v>0</v>
      </c>
      <c r="O14" s="5">
        <f t="shared" si="2"/>
        <v>1.5018993061015451E-3</v>
      </c>
      <c r="P14" s="5">
        <f t="shared" si="3"/>
        <v>0.16037315978339572</v>
      </c>
      <c r="Q14" s="6">
        <f t="shared" si="4"/>
        <v>0.2787068489852863</v>
      </c>
      <c r="R14" s="5">
        <f t="shared" si="5"/>
        <v>6.2479078885329289E-2</v>
      </c>
      <c r="S14" s="5">
        <f t="shared" si="6"/>
        <v>0.28848758939421587</v>
      </c>
      <c r="T14" s="5">
        <f t="shared" si="7"/>
        <v>0.45729076345371816</v>
      </c>
      <c r="U14" s="7">
        <f t="shared" si="8"/>
        <v>0.26047729543131931</v>
      </c>
    </row>
    <row r="15" spans="1:21" x14ac:dyDescent="0.3">
      <c r="A15" t="s">
        <v>203</v>
      </c>
      <c r="B15">
        <v>0.63095734448019303</v>
      </c>
      <c r="C15">
        <v>5.5843177579969393E-2</v>
      </c>
      <c r="D15">
        <v>1.2589254117941699E-4</v>
      </c>
      <c r="E15">
        <v>0.68692641460134185</v>
      </c>
      <c r="F15">
        <v>8.4482596651914571E-2</v>
      </c>
      <c r="G15">
        <v>1.6848931924611101E-2</v>
      </c>
      <c r="H15">
        <v>1.4422896614998819</v>
      </c>
      <c r="I15">
        <v>1.5436211900764076</v>
      </c>
      <c r="J15">
        <v>2.2305476046777493</v>
      </c>
      <c r="L15" s="7" t="s">
        <v>14</v>
      </c>
      <c r="M15" s="6">
        <f t="shared" si="0"/>
        <v>1.2822205176769603E-3</v>
      </c>
      <c r="N15" s="5">
        <f t="shared" si="1"/>
        <v>0</v>
      </c>
      <c r="O15" s="5">
        <f t="shared" si="2"/>
        <v>2.9895844160417371E-3</v>
      </c>
      <c r="P15" s="5">
        <f t="shared" si="3"/>
        <v>0</v>
      </c>
      <c r="Q15" s="6">
        <f t="shared" si="4"/>
        <v>2.1929181761513837E-2</v>
      </c>
      <c r="R15" s="5">
        <f t="shared" si="5"/>
        <v>2.6182074510505521E-5</v>
      </c>
      <c r="S15" s="5">
        <f t="shared" si="6"/>
        <v>0</v>
      </c>
      <c r="T15" s="5">
        <f t="shared" si="7"/>
        <v>0.11269677854216442</v>
      </c>
      <c r="U15" s="7">
        <f t="shared" si="8"/>
        <v>1.3235331955180219E-2</v>
      </c>
    </row>
    <row r="16" spans="1:21" x14ac:dyDescent="0.3">
      <c r="A16" t="s">
        <v>233</v>
      </c>
      <c r="B16">
        <v>1.9952623149688798E-3</v>
      </c>
      <c r="C16">
        <v>0.17297969432253066</v>
      </c>
      <c r="D16">
        <v>3.9810717055349699E-2</v>
      </c>
      <c r="E16">
        <v>0.21478567369284923</v>
      </c>
      <c r="F16">
        <v>0</v>
      </c>
      <c r="G16">
        <v>0</v>
      </c>
      <c r="H16">
        <v>1.2589254117941701E-3</v>
      </c>
      <c r="I16">
        <v>1.2589254117941701E-3</v>
      </c>
      <c r="J16">
        <v>0.21604459910464341</v>
      </c>
      <c r="L16" s="7" t="s">
        <v>17</v>
      </c>
      <c r="M16" s="6">
        <f t="shared" si="0"/>
        <v>0.27853061545810365</v>
      </c>
      <c r="N16" s="5">
        <f t="shared" si="1"/>
        <v>81.718190022675472</v>
      </c>
      <c r="O16" s="5">
        <f t="shared" si="2"/>
        <v>5.2793559382270837E-2</v>
      </c>
      <c r="P16" s="5">
        <f t="shared" si="3"/>
        <v>8.9874139246743951E-5</v>
      </c>
      <c r="Q16" s="6">
        <f t="shared" si="4"/>
        <v>6.7687193925495132E-2</v>
      </c>
      <c r="R16" s="5">
        <f t="shared" si="5"/>
        <v>1.1085908974409269E-2</v>
      </c>
      <c r="S16" s="5">
        <f t="shared" si="6"/>
        <v>2.6676030518024271E-3</v>
      </c>
      <c r="T16" s="5">
        <f t="shared" si="7"/>
        <v>0.16254139857570549</v>
      </c>
      <c r="U16" s="7">
        <f t="shared" si="8"/>
        <v>8.8269369658792562E-2</v>
      </c>
    </row>
    <row r="17" spans="1:21" x14ac:dyDescent="0.3">
      <c r="A17" t="s">
        <v>232</v>
      </c>
      <c r="B17">
        <v>3.9810717055349703E-4</v>
      </c>
      <c r="C17">
        <v>3.1622776601683798E-3</v>
      </c>
      <c r="D17">
        <v>0.79432823472428105</v>
      </c>
      <c r="E17">
        <v>0.7978886195550029</v>
      </c>
      <c r="F17">
        <v>142.60799074391983</v>
      </c>
      <c r="G17">
        <v>1.0398107170553497</v>
      </c>
      <c r="H17">
        <v>33.305281393428444</v>
      </c>
      <c r="I17">
        <v>176.95308285440359</v>
      </c>
      <c r="J17">
        <v>177.7509714739586</v>
      </c>
      <c r="L17" s="7" t="s">
        <v>18</v>
      </c>
      <c r="M17" s="6">
        <f t="shared" si="0"/>
        <v>8.708994822971225E-2</v>
      </c>
      <c r="N17" s="5">
        <f t="shared" si="1"/>
        <v>0.25841560673810132</v>
      </c>
      <c r="O17" s="5">
        <f t="shared" si="2"/>
        <v>0.16353320423190329</v>
      </c>
      <c r="P17" s="5">
        <f t="shared" si="3"/>
        <v>2.8420698276683976E-2</v>
      </c>
      <c r="Q17" s="6">
        <f t="shared" si="4"/>
        <v>5.5203393833708551E-5</v>
      </c>
      <c r="R17" s="5">
        <f t="shared" si="5"/>
        <v>0</v>
      </c>
      <c r="S17" s="5">
        <f t="shared" si="6"/>
        <v>0</v>
      </c>
      <c r="T17" s="5">
        <f t="shared" si="7"/>
        <v>1.4187683833407074E-4</v>
      </c>
      <c r="U17" s="7">
        <f t="shared" si="8"/>
        <v>8.5495241353113847E-3</v>
      </c>
    </row>
    <row r="18" spans="1:21" x14ac:dyDescent="0.3">
      <c r="A18" t="s">
        <v>231</v>
      </c>
      <c r="B18">
        <v>2.5118864315095801E-4</v>
      </c>
      <c r="C18">
        <v>0</v>
      </c>
      <c r="D18">
        <v>0</v>
      </c>
      <c r="E18">
        <v>2.5118864315095801E-4</v>
      </c>
      <c r="F18">
        <v>2.9952623149688797</v>
      </c>
      <c r="G18">
        <v>5.0118723362727296E-4</v>
      </c>
      <c r="H18">
        <v>85.659550140299999</v>
      </c>
      <c r="I18">
        <v>88.655313642502506</v>
      </c>
      <c r="J18">
        <v>88.655564831145654</v>
      </c>
      <c r="L18" s="7" t="s">
        <v>20</v>
      </c>
      <c r="M18" s="6">
        <f t="shared" si="0"/>
        <v>0.3235228745725941</v>
      </c>
      <c r="N18" s="5">
        <f t="shared" si="1"/>
        <v>5.1560692172435127E-2</v>
      </c>
      <c r="O18" s="5">
        <f t="shared" si="2"/>
        <v>2.9895844160417371E-3</v>
      </c>
      <c r="P18" s="5">
        <f t="shared" si="3"/>
        <v>0.56706748236568527</v>
      </c>
      <c r="Q18" s="6">
        <f t="shared" si="4"/>
        <v>7.7593244455832791</v>
      </c>
      <c r="R18" s="5">
        <f t="shared" si="5"/>
        <v>18.713193806344336</v>
      </c>
      <c r="S18" s="5">
        <f t="shared" si="6"/>
        <v>0.16462777905002099</v>
      </c>
      <c r="T18" s="5">
        <f t="shared" si="7"/>
        <v>3.7533979214796744</v>
      </c>
      <c r="U18" s="7">
        <f t="shared" si="8"/>
        <v>7.0341319662223025</v>
      </c>
    </row>
    <row r="19" spans="1:21" x14ac:dyDescent="0.3">
      <c r="A19" t="s">
        <v>230</v>
      </c>
      <c r="B19">
        <v>0</v>
      </c>
      <c r="C19">
        <v>0</v>
      </c>
      <c r="D19">
        <v>0</v>
      </c>
      <c r="E19">
        <v>0</v>
      </c>
      <c r="F19">
        <v>6.4929581370445497</v>
      </c>
      <c r="G19">
        <v>2.519262026701794</v>
      </c>
      <c r="H19">
        <v>3.98107170553497</v>
      </c>
      <c r="I19">
        <v>12.993291869281311</v>
      </c>
      <c r="J19">
        <v>12.993291869281311</v>
      </c>
      <c r="L19" s="7" t="s">
        <v>21</v>
      </c>
      <c r="M19" s="6">
        <f t="shared" si="0"/>
        <v>1.018503960333594E-4</v>
      </c>
      <c r="N19" s="5">
        <f t="shared" si="1"/>
        <v>3.2532597412680372E-2</v>
      </c>
      <c r="O19" s="5">
        <f t="shared" si="2"/>
        <v>0</v>
      </c>
      <c r="P19" s="5">
        <f t="shared" si="3"/>
        <v>0</v>
      </c>
      <c r="Q19" s="6">
        <f t="shared" si="4"/>
        <v>3.8875013154934899</v>
      </c>
      <c r="R19" s="5">
        <f t="shared" si="5"/>
        <v>0.39304196005048897</v>
      </c>
      <c r="S19" s="5">
        <f t="shared" si="6"/>
        <v>7.9350346949626531E-5</v>
      </c>
      <c r="T19" s="5">
        <f t="shared" si="7"/>
        <v>9.6535553521828188</v>
      </c>
      <c r="U19" s="7">
        <f t="shared" si="8"/>
        <v>3.5083630620472759</v>
      </c>
    </row>
    <row r="20" spans="1:21" x14ac:dyDescent="0.3">
      <c r="A20" t="s">
        <v>282</v>
      </c>
      <c r="B20">
        <v>0.1378835323643981</v>
      </c>
      <c r="C20">
        <v>105.07605193219861</v>
      </c>
      <c r="D20">
        <v>120.98222507862921</v>
      </c>
      <c r="E20">
        <v>226.19616054319221</v>
      </c>
      <c r="F20">
        <v>591.51934234228452</v>
      </c>
      <c r="G20">
        <v>621.84256871526225</v>
      </c>
      <c r="H20">
        <v>740.98426357668211</v>
      </c>
      <c r="I20">
        <v>1954.3461746342291</v>
      </c>
      <c r="J20">
        <v>2180.5423351774211</v>
      </c>
      <c r="L20" s="7" t="s">
        <v>24</v>
      </c>
      <c r="M20" s="6">
        <f t="shared" si="0"/>
        <v>0</v>
      </c>
      <c r="N20" s="5">
        <f t="shared" si="1"/>
        <v>0</v>
      </c>
      <c r="O20" s="5">
        <f t="shared" si="2"/>
        <v>0</v>
      </c>
      <c r="P20" s="5">
        <f t="shared" si="3"/>
        <v>0</v>
      </c>
      <c r="Q20" s="6">
        <f t="shared" si="4"/>
        <v>0.56975083792615588</v>
      </c>
      <c r="R20" s="5">
        <f>F19/$F$21*100</f>
        <v>0.85201385533282614</v>
      </c>
      <c r="S20" s="5">
        <f t="shared" si="6"/>
        <v>0.3988615480666316</v>
      </c>
      <c r="T20" s="5">
        <f t="shared" si="7"/>
        <v>0.44865395635915134</v>
      </c>
      <c r="U20" s="7">
        <f t="shared" si="8"/>
        <v>0.51418301079472895</v>
      </c>
    </row>
    <row r="21" spans="1:21" x14ac:dyDescent="0.3">
      <c r="A21" t="s">
        <v>272</v>
      </c>
      <c r="B21">
        <f>SUM(B2:B20)</f>
        <v>0.77211370480074581</v>
      </c>
      <c r="C21">
        <f t="shared" ref="C21:J21" si="9">SUM(C2:C20)</f>
        <v>105.77649666622533</v>
      </c>
      <c r="D21">
        <f t="shared" si="9"/>
        <v>140.07649167441451</v>
      </c>
      <c r="E21">
        <f t="shared" si="9"/>
        <v>246.6251020454406</v>
      </c>
      <c r="F21">
        <f t="shared" si="9"/>
        <v>762.07189547500661</v>
      </c>
      <c r="G21">
        <f t="shared" si="9"/>
        <v>631.61315973254466</v>
      </c>
      <c r="H21">
        <f t="shared" si="9"/>
        <v>887.33681027613363</v>
      </c>
      <c r="I21">
        <f t="shared" si="9"/>
        <v>2280.5217657205694</v>
      </c>
      <c r="J21">
        <f t="shared" si="9"/>
        <v>2526.9780596598644</v>
      </c>
      <c r="L21" s="7" t="s">
        <v>275</v>
      </c>
      <c r="M21" s="6">
        <f>E21/$E$21*100</f>
        <v>100</v>
      </c>
      <c r="N21" s="7">
        <f>B21/$B$21*100</f>
        <v>100</v>
      </c>
      <c r="O21" s="7">
        <f>C21/$C$21*100</f>
        <v>100</v>
      </c>
      <c r="P21" s="7">
        <f>D21/$D$21*100</f>
        <v>100</v>
      </c>
      <c r="Q21" s="6">
        <f>I21/$I$21*100</f>
        <v>100</v>
      </c>
      <c r="R21" s="7">
        <f>F21/$F$21*100</f>
        <v>100</v>
      </c>
      <c r="S21" s="7">
        <f>G21/$G$21*100</f>
        <v>100</v>
      </c>
      <c r="T21" s="7">
        <f>H21/$H$21*100</f>
        <v>100</v>
      </c>
      <c r="U21" s="7">
        <f>J21/$J$21*100</f>
        <v>100</v>
      </c>
    </row>
    <row r="22" spans="1:21" x14ac:dyDescent="0.3">
      <c r="A22" t="s">
        <v>273</v>
      </c>
      <c r="B22">
        <f>(B21/$E$21)*100</f>
        <v>0.31307182375072434</v>
      </c>
      <c r="C22">
        <f t="shared" ref="C22:D22" si="10">(C21/$E$21)*100</f>
        <v>42.889590633290865</v>
      </c>
      <c r="D22">
        <f t="shared" si="10"/>
        <v>56.797337542958402</v>
      </c>
      <c r="F22">
        <f>F21/$I$21*100</f>
        <v>33.41655874239013</v>
      </c>
      <c r="G22">
        <f t="shared" ref="G22:H22" si="11">G21/$I$21*100</f>
        <v>27.69599348826981</v>
      </c>
      <c r="H22">
        <f t="shared" si="11"/>
        <v>38.909376951101564</v>
      </c>
      <c r="L22" s="7"/>
      <c r="M22" s="7">
        <f>SUM(M2:M20)</f>
        <v>100.00000000000001</v>
      </c>
      <c r="N22" s="7">
        <f t="shared" ref="N22:U22" si="12">SUM(N2:N20)</f>
        <v>99.999999999999986</v>
      </c>
      <c r="O22" s="7">
        <f t="shared" si="12"/>
        <v>100</v>
      </c>
      <c r="P22" s="7">
        <f t="shared" si="12"/>
        <v>100</v>
      </c>
      <c r="Q22" s="7">
        <f t="shared" si="12"/>
        <v>99.999999999999957</v>
      </c>
      <c r="R22" s="7">
        <f t="shared" si="12"/>
        <v>99.999999999999972</v>
      </c>
      <c r="S22" s="7">
        <f t="shared" si="12"/>
        <v>100</v>
      </c>
      <c r="T22" s="7">
        <f t="shared" si="12"/>
        <v>100</v>
      </c>
      <c r="U22" s="7">
        <f t="shared" si="12"/>
        <v>100</v>
      </c>
    </row>
    <row r="23" spans="1:21" x14ac:dyDescent="0.3">
      <c r="A23" t="s">
        <v>274</v>
      </c>
      <c r="E23">
        <f>(E21/J21)*100</f>
        <v>9.7596851346875866</v>
      </c>
      <c r="I23">
        <f>I21/J21*100</f>
        <v>90.246995101632649</v>
      </c>
      <c r="L23" s="7"/>
      <c r="M23" s="7"/>
      <c r="N23" s="7">
        <v>1</v>
      </c>
      <c r="O23" s="7">
        <v>2</v>
      </c>
      <c r="P23" s="7">
        <v>3</v>
      </c>
      <c r="Q23" s="7"/>
      <c r="R23" s="7">
        <v>1</v>
      </c>
      <c r="S23" s="7">
        <v>2</v>
      </c>
      <c r="T23" s="7">
        <v>3</v>
      </c>
      <c r="U23" s="7"/>
    </row>
    <row r="24" spans="1:21" x14ac:dyDescent="0.3">
      <c r="L24" s="7" t="s">
        <v>0</v>
      </c>
      <c r="M24" s="7">
        <f>SUM(M3:M10)</f>
        <v>5.119216356985655</v>
      </c>
      <c r="N24" s="7">
        <f t="shared" ref="N24:U24" si="13">SUM(N3:N10)</f>
        <v>8.1370117325331809E-2</v>
      </c>
      <c r="O24" s="7">
        <f t="shared" si="13"/>
        <v>0.42391159731746425</v>
      </c>
      <c r="P24" s="7">
        <f t="shared" si="13"/>
        <v>8.692568833186348</v>
      </c>
      <c r="Q24" s="7">
        <f t="shared" si="13"/>
        <v>1.4518965775761126</v>
      </c>
      <c r="R24" s="7">
        <f t="shared" si="13"/>
        <v>2.2595687497522245</v>
      </c>
      <c r="S24" s="7">
        <f t="shared" si="13"/>
        <v>0.48871448127715722</v>
      </c>
      <c r="T24" s="7">
        <f t="shared" si="13"/>
        <v>1.4430252347276957</v>
      </c>
      <c r="U24" s="7">
        <f t="shared" si="13"/>
        <v>1.8099124310511108</v>
      </c>
    </row>
    <row r="25" spans="1:21" x14ac:dyDescent="0.3">
      <c r="L25" s="7" t="s">
        <v>9</v>
      </c>
      <c r="M25" s="7">
        <f>SUM(M11:M12)</f>
        <v>2.3784108395747974</v>
      </c>
      <c r="N25" s="7">
        <f t="shared" ref="N25:U25" si="14">SUM(N11:N12)</f>
        <v>0</v>
      </c>
      <c r="O25" s="7">
        <f t="shared" si="14"/>
        <v>6.4725991755719805E-3</v>
      </c>
      <c r="P25" s="7">
        <f t="shared" si="14"/>
        <v>4.1826516365987407</v>
      </c>
      <c r="Q25" s="7">
        <f t="shared" si="14"/>
        <v>0.2206915762365291</v>
      </c>
      <c r="R25" s="7">
        <f t="shared" si="14"/>
        <v>8.5509792536687917E-2</v>
      </c>
      <c r="S25" s="7">
        <f t="shared" si="14"/>
        <v>0.19042834049352456</v>
      </c>
      <c r="T25" s="7">
        <f t="shared" si="14"/>
        <v>0.35820703470852699</v>
      </c>
      <c r="U25" s="7">
        <f t="shared" si="14"/>
        <v>0.43129292514767603</v>
      </c>
    </row>
    <row r="26" spans="1:21" x14ac:dyDescent="0.3">
      <c r="L26" s="7" t="s">
        <v>276</v>
      </c>
      <c r="M26" s="7">
        <f>SUM(M13:M14)</f>
        <v>9.5244401986569277E-2</v>
      </c>
      <c r="N26" s="7">
        <f t="shared" ref="N26:U26" si="15">SUM(N13:N14)</f>
        <v>0</v>
      </c>
      <c r="O26" s="7">
        <f t="shared" si="15"/>
        <v>9.5030388274100434E-3</v>
      </c>
      <c r="P26" s="7">
        <f t="shared" si="15"/>
        <v>0.1605156006948662</v>
      </c>
      <c r="Q26" s="7">
        <f t="shared" si="15"/>
        <v>0.32383755568560563</v>
      </c>
      <c r="R26" s="7">
        <f t="shared" si="15"/>
        <v>6.5672979055961575E-2</v>
      </c>
      <c r="S26" s="7">
        <f t="shared" si="15"/>
        <v>0.30154734576634268</v>
      </c>
      <c r="T26" s="7">
        <f t="shared" si="15"/>
        <v>0.56124099105579095</v>
      </c>
      <c r="U26" s="7">
        <f t="shared" si="15"/>
        <v>0.3015492167591407</v>
      </c>
    </row>
    <row r="27" spans="1:21" x14ac:dyDescent="0.3">
      <c r="L27" s="7" t="s">
        <v>277</v>
      </c>
      <c r="M27" s="7">
        <f>SUM(M15)</f>
        <v>1.2822205176769603E-3</v>
      </c>
      <c r="N27" s="7">
        <f t="shared" ref="N27:U27" si="16">SUM(N15)</f>
        <v>0</v>
      </c>
      <c r="O27" s="7">
        <f t="shared" si="16"/>
        <v>2.9895844160417371E-3</v>
      </c>
      <c r="P27" s="7">
        <f t="shared" si="16"/>
        <v>0</v>
      </c>
      <c r="Q27" s="7">
        <f t="shared" si="16"/>
        <v>2.1929181761513837E-2</v>
      </c>
      <c r="R27" s="7">
        <f t="shared" si="16"/>
        <v>2.6182074510505521E-5</v>
      </c>
      <c r="S27" s="7">
        <f t="shared" si="16"/>
        <v>0</v>
      </c>
      <c r="T27" s="7">
        <f t="shared" si="16"/>
        <v>0.11269677854216442</v>
      </c>
      <c r="U27" s="7">
        <f t="shared" si="16"/>
        <v>1.3235331955180219E-2</v>
      </c>
    </row>
    <row r="28" spans="1:21" x14ac:dyDescent="0.3">
      <c r="L28" s="7" t="s">
        <v>16</v>
      </c>
      <c r="M28" s="7">
        <f>SUM(M16:M17)</f>
        <v>0.36562056368781592</v>
      </c>
      <c r="N28" s="7">
        <f t="shared" ref="N28:U28" si="17">SUM(N16:N17)</f>
        <v>81.976605629413569</v>
      </c>
      <c r="O28" s="7">
        <f t="shared" si="17"/>
        <v>0.21632676361417413</v>
      </c>
      <c r="P28" s="7">
        <f t="shared" si="17"/>
        <v>2.8510572415930718E-2</v>
      </c>
      <c r="Q28" s="7">
        <f t="shared" si="17"/>
        <v>6.7742397319328837E-2</v>
      </c>
      <c r="R28" s="7">
        <f t="shared" si="17"/>
        <v>1.1085908974409269E-2</v>
      </c>
      <c r="S28" s="7">
        <f t="shared" si="17"/>
        <v>2.6676030518024271E-3</v>
      </c>
      <c r="T28" s="7">
        <f t="shared" si="17"/>
        <v>0.16268327541403957</v>
      </c>
      <c r="U28" s="7">
        <f t="shared" si="17"/>
        <v>9.6818893794103952E-2</v>
      </c>
    </row>
    <row r="29" spans="1:21" x14ac:dyDescent="0.3">
      <c r="L29" s="7" t="s">
        <v>19</v>
      </c>
      <c r="M29" s="7">
        <f>SUM(M18:M19)</f>
        <v>0.32362472496862743</v>
      </c>
      <c r="N29" s="7">
        <f t="shared" ref="N29:U29" si="18">SUM(N18:N19)</f>
        <v>8.4093289585115499E-2</v>
      </c>
      <c r="O29" s="7">
        <f t="shared" si="18"/>
        <v>2.9895844160417371E-3</v>
      </c>
      <c r="P29" s="7">
        <f t="shared" si="18"/>
        <v>0.56706748236568527</v>
      </c>
      <c r="Q29" s="7">
        <f t="shared" si="18"/>
        <v>11.646825761076769</v>
      </c>
      <c r="R29" s="7">
        <f t="shared" si="18"/>
        <v>19.106235766394825</v>
      </c>
      <c r="S29" s="7">
        <f t="shared" si="18"/>
        <v>0.1647071293969706</v>
      </c>
      <c r="T29" s="7">
        <f t="shared" si="18"/>
        <v>13.406953273662493</v>
      </c>
      <c r="U29" s="7">
        <f t="shared" si="18"/>
        <v>10.542495028269578</v>
      </c>
    </row>
    <row r="30" spans="1:21" x14ac:dyDescent="0.3">
      <c r="L30" s="7" t="s">
        <v>23</v>
      </c>
      <c r="M30" s="7">
        <f>SUM(M20)</f>
        <v>0</v>
      </c>
      <c r="N30" s="7">
        <f t="shared" ref="N30:U30" si="19">SUM(N20)</f>
        <v>0</v>
      </c>
      <c r="O30" s="7">
        <f t="shared" si="19"/>
        <v>0</v>
      </c>
      <c r="P30" s="7">
        <f t="shared" si="19"/>
        <v>0</v>
      </c>
      <c r="Q30" s="7">
        <f t="shared" si="19"/>
        <v>0.56975083792615588</v>
      </c>
      <c r="R30" s="7">
        <f t="shared" si="19"/>
        <v>0.85201385533282614</v>
      </c>
      <c r="S30" s="7">
        <f t="shared" si="19"/>
        <v>0.3988615480666316</v>
      </c>
      <c r="T30" s="7">
        <f t="shared" si="19"/>
        <v>0.44865395635915134</v>
      </c>
      <c r="U30" s="7">
        <f t="shared" si="19"/>
        <v>0.51418301079472895</v>
      </c>
    </row>
    <row r="31" spans="1:21" x14ac:dyDescent="0.3">
      <c r="L31" s="7" t="s">
        <v>284</v>
      </c>
      <c r="M31" s="7">
        <f>SUM(M2)</f>
        <v>91.716600892278848</v>
      </c>
      <c r="N31" s="7">
        <f t="shared" ref="N31:U31" si="20">SUM(N2)</f>
        <v>17.857930963675976</v>
      </c>
      <c r="O31" s="7">
        <f t="shared" si="20"/>
        <v>99.337806832233298</v>
      </c>
      <c r="P31" s="7">
        <f t="shared" si="20"/>
        <v>86.368685874738432</v>
      </c>
      <c r="Q31" s="7">
        <f t="shared" si="20"/>
        <v>85.697326112417983</v>
      </c>
      <c r="R31" s="7">
        <f t="shared" si="20"/>
        <v>77.619886765878547</v>
      </c>
      <c r="S31" s="7">
        <f t="shared" si="20"/>
        <v>98.453073551947568</v>
      </c>
      <c r="T31" s="7">
        <f t="shared" si="20"/>
        <v>83.506539455530131</v>
      </c>
      <c r="U31" s="7">
        <f t="shared" si="20"/>
        <v>86.290513162228478</v>
      </c>
    </row>
    <row r="33" spans="12:21" x14ac:dyDescent="0.3">
      <c r="L33" s="7" t="s">
        <v>285</v>
      </c>
      <c r="M33" s="7">
        <f>SUM(M24:M31)</f>
        <v>99.999999999999986</v>
      </c>
      <c r="N33" s="7">
        <f t="shared" ref="N33:U33" si="21">SUM(N24:N31)</f>
        <v>100</v>
      </c>
      <c r="O33" s="7">
        <f t="shared" si="21"/>
        <v>100</v>
      </c>
      <c r="P33" s="7">
        <f t="shared" si="21"/>
        <v>100</v>
      </c>
      <c r="Q33" s="7">
        <f t="shared" si="21"/>
        <v>100</v>
      </c>
      <c r="R33" s="7">
        <f t="shared" si="21"/>
        <v>99.999999999999986</v>
      </c>
      <c r="S33" s="7">
        <f t="shared" si="21"/>
        <v>100</v>
      </c>
      <c r="T33" s="7">
        <f t="shared" si="21"/>
        <v>100</v>
      </c>
      <c r="U33" s="7">
        <f t="shared" si="21"/>
        <v>100</v>
      </c>
    </row>
    <row r="35" spans="12:21" x14ac:dyDescent="0.3">
      <c r="M35" s="7">
        <f>AVERAGE(N31,O31,P31,R31,S31,T31)</f>
        <v>77.190653907333996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408C-6AB3-42B2-8128-7E412ADDF2FA}">
  <dimension ref="A1:U31"/>
  <sheetViews>
    <sheetView topLeftCell="K1" workbookViewId="0">
      <selection activeCell="U18" sqref="U18:U19"/>
    </sheetView>
  </sheetViews>
  <sheetFormatPr defaultRowHeight="14.4" x14ac:dyDescent="0.3"/>
  <cols>
    <col min="1" max="1" width="10.33203125" customWidth="1"/>
    <col min="5" max="5" width="11.33203125" customWidth="1"/>
    <col min="9" max="9" width="11.33203125" customWidth="1"/>
    <col min="10" max="10" width="12.44140625" customWidth="1"/>
    <col min="13" max="20" width="9.5546875" bestFit="1" customWidth="1"/>
  </cols>
  <sheetData>
    <row r="1" spans="1:21" x14ac:dyDescent="0.3">
      <c r="B1">
        <v>1</v>
      </c>
      <c r="C1">
        <v>2</v>
      </c>
      <c r="D1">
        <v>3</v>
      </c>
      <c r="E1" t="s">
        <v>150</v>
      </c>
      <c r="F1">
        <v>1</v>
      </c>
      <c r="G1">
        <v>2</v>
      </c>
      <c r="H1">
        <v>3</v>
      </c>
      <c r="I1" t="s">
        <v>151</v>
      </c>
      <c r="J1" t="s">
        <v>148</v>
      </c>
      <c r="L1" s="7"/>
      <c r="M1" s="7">
        <v>2020</v>
      </c>
      <c r="N1" s="7"/>
      <c r="O1" s="7"/>
      <c r="P1" s="7"/>
      <c r="Q1" s="7">
        <v>2021</v>
      </c>
      <c r="R1" s="7"/>
      <c r="S1" s="7"/>
      <c r="T1" s="7"/>
      <c r="U1" s="7" t="s">
        <v>148</v>
      </c>
    </row>
    <row r="2" spans="1:21" x14ac:dyDescent="0.3">
      <c r="A2" t="s">
        <v>209</v>
      </c>
      <c r="B2">
        <v>0</v>
      </c>
      <c r="C2">
        <v>4.1195535008323285E-2</v>
      </c>
      <c r="D2">
        <v>4.5071487464784602E-4</v>
      </c>
      <c r="E2">
        <v>4.164624988297113E-2</v>
      </c>
      <c r="F2">
        <v>1.2589254117941701E-3</v>
      </c>
      <c r="G2">
        <v>0</v>
      </c>
      <c r="H2">
        <v>6.9017550925470836E-3</v>
      </c>
      <c r="I2">
        <v>8.1606805043412528E-3</v>
      </c>
      <c r="J2">
        <v>4.9806930387312383E-2</v>
      </c>
      <c r="L2" s="7"/>
      <c r="M2" s="7"/>
      <c r="N2" s="7">
        <v>1</v>
      </c>
      <c r="O2" s="7">
        <v>2</v>
      </c>
      <c r="P2" s="7">
        <v>3</v>
      </c>
      <c r="Q2" s="7"/>
      <c r="R2" s="7">
        <v>1</v>
      </c>
      <c r="S2" s="7">
        <v>2</v>
      </c>
      <c r="T2" s="7">
        <v>3</v>
      </c>
      <c r="U2" s="7"/>
    </row>
    <row r="3" spans="1:21" x14ac:dyDescent="0.3">
      <c r="A3" t="s">
        <v>207</v>
      </c>
      <c r="B3">
        <v>2.5118864315095801E-4</v>
      </c>
      <c r="C3">
        <v>1.9952623149688801E-4</v>
      </c>
      <c r="D3">
        <v>0</v>
      </c>
      <c r="E3">
        <v>4.5071487464784602E-4</v>
      </c>
      <c r="F3">
        <v>2.2467021467629888</v>
      </c>
      <c r="G3">
        <v>4.482258939162243E-3</v>
      </c>
      <c r="H3">
        <v>5.1205724685056229</v>
      </c>
      <c r="I3">
        <v>7.3717568742077741</v>
      </c>
      <c r="J3">
        <v>7.3722075890824215</v>
      </c>
      <c r="L3" s="7" t="s">
        <v>1</v>
      </c>
      <c r="M3" s="6">
        <f>E2/$E$21*100</f>
        <v>0.20385906865702072</v>
      </c>
      <c r="N3" s="5">
        <f>B2/$B$21*100</f>
        <v>0</v>
      </c>
      <c r="O3" s="5">
        <f>C2/$C$21*100</f>
        <v>5.8813398127070249</v>
      </c>
      <c r="P3" s="5">
        <f>D2/$D$21*100</f>
        <v>2.3604723040126217E-3</v>
      </c>
      <c r="Q3" s="6">
        <f>I2/$I$21*100</f>
        <v>2.5019286321094096E-3</v>
      </c>
      <c r="R3" s="5">
        <f>F2/$F$21*100</f>
        <v>7.3814515741343868E-4</v>
      </c>
      <c r="S3" s="5">
        <f>G2/$G$21*100</f>
        <v>0</v>
      </c>
      <c r="T3" s="5">
        <f>H2/$H$21*100</f>
        <v>4.7158421552584776E-3</v>
      </c>
      <c r="U3" s="7">
        <f>J2/$J$21*100</f>
        <v>1.4376961400768155E-2</v>
      </c>
    </row>
    <row r="4" spans="1:21" x14ac:dyDescent="0.3">
      <c r="A4" t="s">
        <v>211</v>
      </c>
      <c r="B4">
        <v>0</v>
      </c>
      <c r="C4">
        <v>1.9952623149688801E-4</v>
      </c>
      <c r="D4">
        <v>5.8062005709970015E-3</v>
      </c>
      <c r="E4">
        <v>6.0057268024938893E-3</v>
      </c>
      <c r="F4">
        <v>0.33786153541526948</v>
      </c>
      <c r="G4">
        <v>0.11031271768037344</v>
      </c>
      <c r="H4">
        <v>6.9833796290363608E-3</v>
      </c>
      <c r="I4">
        <v>0.45515763272467935</v>
      </c>
      <c r="J4">
        <v>0.46116335952717324</v>
      </c>
      <c r="L4" s="7" t="s">
        <v>2</v>
      </c>
      <c r="M4" s="6">
        <f t="shared" ref="M4:M20" si="0">E3/$E$21*100</f>
        <v>2.2062566217551749E-3</v>
      </c>
      <c r="N4" s="5">
        <f t="shared" ref="N4:N20" si="1">B3/$B$21*100</f>
        <v>3.9605281184595116E-2</v>
      </c>
      <c r="O4" s="5">
        <f t="shared" ref="O4:O20" si="2">C3/$C$21*100</f>
        <v>2.8485649445867171E-2</v>
      </c>
      <c r="P4" s="5">
        <f t="shared" ref="P4:P20" si="3">D3/$D$21*100</f>
        <v>0</v>
      </c>
      <c r="Q4" s="6">
        <f t="shared" ref="Q4:Q20" si="4">I3/$I$21*100</f>
        <v>2.2600577957583696</v>
      </c>
      <c r="R4" s="5">
        <f t="shared" ref="R4:R19" si="5">F3/$F$21*100</f>
        <v>1.3173078359106301</v>
      </c>
      <c r="S4" s="5">
        <f t="shared" ref="S4:S20" si="6">G3/$G$21*100</f>
        <v>4.5875003172622379E-2</v>
      </c>
      <c r="T4" s="5">
        <f t="shared" ref="T4:T20" si="7">H3/$H$21*100</f>
        <v>3.4987928696732506</v>
      </c>
      <c r="U4" s="7">
        <f t="shared" ref="U4:U20" si="8">J3/$J$21*100</f>
        <v>2.1280159833677983</v>
      </c>
    </row>
    <row r="5" spans="1:21" x14ac:dyDescent="0.3">
      <c r="A5" t="s">
        <v>213</v>
      </c>
      <c r="B5">
        <v>0</v>
      </c>
      <c r="C5">
        <v>1.5848931924611101E-4</v>
      </c>
      <c r="D5">
        <v>10.000158489319245</v>
      </c>
      <c r="E5">
        <v>10.000316978638493</v>
      </c>
      <c r="F5">
        <v>8.283369557835643</v>
      </c>
      <c r="G5">
        <v>1.794328234724281E-3</v>
      </c>
      <c r="H5">
        <v>0.40457749453306074</v>
      </c>
      <c r="I5">
        <v>8.6897413806034258</v>
      </c>
      <c r="J5">
        <v>18.690058359241927</v>
      </c>
      <c r="L5" s="7" t="s">
        <v>3</v>
      </c>
      <c r="M5" s="6">
        <f t="shared" si="0"/>
        <v>2.9398130107881056E-2</v>
      </c>
      <c r="N5" s="5">
        <f t="shared" si="1"/>
        <v>0</v>
      </c>
      <c r="O5" s="5">
        <f t="shared" si="2"/>
        <v>2.8485649445867171E-2</v>
      </c>
      <c r="P5" s="5">
        <f t="shared" si="3"/>
        <v>3.0408083713875701E-2</v>
      </c>
      <c r="Q5" s="6">
        <f t="shared" si="4"/>
        <v>0.13954374427858307</v>
      </c>
      <c r="R5" s="5">
        <f t="shared" si="5"/>
        <v>0.19809819859591865</v>
      </c>
      <c r="S5" s="5">
        <f t="shared" si="6"/>
        <v>1.1290280954882941</v>
      </c>
      <c r="T5" s="5">
        <f t="shared" si="7"/>
        <v>4.7716146978824883E-3</v>
      </c>
      <c r="U5" s="7">
        <f t="shared" si="8"/>
        <v>0.13311657168616978</v>
      </c>
    </row>
    <row r="6" spans="1:21" x14ac:dyDescent="0.3">
      <c r="A6" t="s">
        <v>215</v>
      </c>
      <c r="B6">
        <v>0</v>
      </c>
      <c r="C6">
        <v>0</v>
      </c>
      <c r="D6">
        <v>0</v>
      </c>
      <c r="E6">
        <v>0</v>
      </c>
      <c r="F6">
        <v>3.8327914994784722</v>
      </c>
      <c r="G6">
        <v>1.5848931924611101E-4</v>
      </c>
      <c r="H6">
        <v>2.1672719869634722</v>
      </c>
      <c r="I6">
        <v>6.0002219757611908</v>
      </c>
      <c r="J6">
        <v>6.0002219757611908</v>
      </c>
      <c r="L6" s="7" t="s">
        <v>4</v>
      </c>
      <c r="M6" s="6">
        <f t="shared" si="0"/>
        <v>48.951713810222969</v>
      </c>
      <c r="N6" s="5">
        <f t="shared" si="1"/>
        <v>0</v>
      </c>
      <c r="O6" s="5">
        <f t="shared" si="2"/>
        <v>2.2626955639310321E-2</v>
      </c>
      <c r="P6" s="5">
        <f t="shared" si="3"/>
        <v>52.372571835393686</v>
      </c>
      <c r="Q6" s="6">
        <f t="shared" si="4"/>
        <v>2.6641298791432897</v>
      </c>
      <c r="R6" s="5">
        <f t="shared" si="5"/>
        <v>4.8567842613236145</v>
      </c>
      <c r="S6" s="5">
        <f t="shared" si="6"/>
        <v>1.836458236303665E-2</v>
      </c>
      <c r="T6" s="5">
        <f t="shared" si="7"/>
        <v>0.27644035150539475</v>
      </c>
      <c r="U6" s="7">
        <f t="shared" si="8"/>
        <v>5.3949569973373528</v>
      </c>
    </row>
    <row r="7" spans="1:21" x14ac:dyDescent="0.3">
      <c r="A7" t="s">
        <v>217</v>
      </c>
      <c r="B7">
        <v>1.2589254117941699E-4</v>
      </c>
      <c r="C7">
        <v>0.39387881717302231</v>
      </c>
      <c r="D7">
        <v>1.1889138619196413</v>
      </c>
      <c r="E7">
        <v>1.5829185716338428</v>
      </c>
      <c r="F7">
        <v>6.0844336729417435E-2</v>
      </c>
      <c r="G7">
        <v>5.3281001022895583E-2</v>
      </c>
      <c r="H7">
        <v>3.4166703244998507E-3</v>
      </c>
      <c r="I7">
        <v>0.11754200807681287</v>
      </c>
      <c r="J7">
        <v>1.7004605797106556</v>
      </c>
      <c r="L7" s="7" t="s">
        <v>5</v>
      </c>
      <c r="M7" s="6">
        <f t="shared" si="0"/>
        <v>0</v>
      </c>
      <c r="N7" s="5">
        <f t="shared" si="1"/>
        <v>0</v>
      </c>
      <c r="O7" s="5">
        <f t="shared" si="2"/>
        <v>0</v>
      </c>
      <c r="P7" s="5">
        <f t="shared" si="3"/>
        <v>0</v>
      </c>
      <c r="Q7" s="6">
        <f t="shared" si="4"/>
        <v>1.839568054671787</v>
      </c>
      <c r="R7" s="5">
        <f t="shared" si="5"/>
        <v>2.2472788762627531</v>
      </c>
      <c r="S7" s="5">
        <f t="shared" si="6"/>
        <v>1.6221057555860516E-3</v>
      </c>
      <c r="T7" s="5">
        <f t="shared" si="7"/>
        <v>1.4808570372295371</v>
      </c>
      <c r="U7" s="7">
        <f t="shared" si="8"/>
        <v>1.731987076311257</v>
      </c>
    </row>
    <row r="8" spans="1:21" x14ac:dyDescent="0.3">
      <c r="A8" t="s">
        <v>219</v>
      </c>
      <c r="B8">
        <v>2.5118864315095801E-4</v>
      </c>
      <c r="C8">
        <v>1.1766942640664683E-2</v>
      </c>
      <c r="D8">
        <v>0.98091619122649376</v>
      </c>
      <c r="E8">
        <v>0.99293432251030944</v>
      </c>
      <c r="F8">
        <v>2.4567103991641011</v>
      </c>
      <c r="G8">
        <v>2.9166302895275869</v>
      </c>
      <c r="H8">
        <v>5.0947703342641857</v>
      </c>
      <c r="I8">
        <v>10.46811102295587</v>
      </c>
      <c r="J8">
        <v>11.46104534546618</v>
      </c>
      <c r="L8" s="7" t="s">
        <v>6</v>
      </c>
      <c r="M8" s="6">
        <f t="shared" si="0"/>
        <v>7.7484120822394491</v>
      </c>
      <c r="N8" s="5">
        <f t="shared" si="1"/>
        <v>1.984966131393753E-2</v>
      </c>
      <c r="O8" s="5">
        <f t="shared" si="2"/>
        <v>56.232675904163074</v>
      </c>
      <c r="P8" s="5">
        <f t="shared" si="3"/>
        <v>6.2265489797972693</v>
      </c>
      <c r="Q8" s="6">
        <f t="shared" si="4"/>
        <v>3.6036420654695443E-2</v>
      </c>
      <c r="R8" s="5">
        <f t="shared" si="5"/>
        <v>3.5674831957554484E-2</v>
      </c>
      <c r="S8" s="5">
        <f t="shared" si="6"/>
        <v>0.54532014418218255</v>
      </c>
      <c r="T8" s="5">
        <f t="shared" si="7"/>
        <v>2.3345479129353993E-3</v>
      </c>
      <c r="U8" s="7">
        <f t="shared" si="8"/>
        <v>0.49084446537696247</v>
      </c>
    </row>
    <row r="9" spans="1:21" x14ac:dyDescent="0.3">
      <c r="A9" t="s">
        <v>221</v>
      </c>
      <c r="B9">
        <v>0</v>
      </c>
      <c r="C9">
        <v>1E-3</v>
      </c>
      <c r="D9">
        <v>0</v>
      </c>
      <c r="E9">
        <v>1E-3</v>
      </c>
      <c r="F9">
        <v>0</v>
      </c>
      <c r="G9">
        <v>1.2589254117941699E-4</v>
      </c>
      <c r="H9">
        <v>0</v>
      </c>
      <c r="I9">
        <v>1.2589254117941699E-4</v>
      </c>
      <c r="J9">
        <v>1.1258925411794171E-3</v>
      </c>
      <c r="L9" s="7" t="s">
        <v>7</v>
      </c>
      <c r="M9" s="6">
        <f t="shared" si="0"/>
        <v>4.8604296135510907</v>
      </c>
      <c r="N9" s="5">
        <f t="shared" si="1"/>
        <v>3.9605281184595116E-2</v>
      </c>
      <c r="O9" s="5">
        <f t="shared" si="2"/>
        <v>1.6799244921178629</v>
      </c>
      <c r="P9" s="5">
        <f t="shared" si="3"/>
        <v>5.137228949359133</v>
      </c>
      <c r="Q9" s="6">
        <f t="shared" si="4"/>
        <v>3.2093483721732299</v>
      </c>
      <c r="R9" s="5">
        <f t="shared" si="5"/>
        <v>1.4404418779074601</v>
      </c>
      <c r="S9" s="5">
        <f t="shared" si="6"/>
        <v>29.851114271067203</v>
      </c>
      <c r="T9" s="5">
        <f t="shared" si="7"/>
        <v>3.4811627465060573</v>
      </c>
      <c r="U9" s="7">
        <f t="shared" si="8"/>
        <v>3.3082746770958389</v>
      </c>
    </row>
    <row r="10" spans="1:21" x14ac:dyDescent="0.3">
      <c r="A10" t="s">
        <v>223</v>
      </c>
      <c r="B10">
        <v>0</v>
      </c>
      <c r="C10">
        <v>6.0521604164427431E-3</v>
      </c>
      <c r="D10">
        <v>0.82634911849651838</v>
      </c>
      <c r="E10">
        <v>0.83240127891296112</v>
      </c>
      <c r="F10">
        <v>0.65164609680108343</v>
      </c>
      <c r="G10">
        <v>1.2027704584173993</v>
      </c>
      <c r="H10">
        <v>3.1753405983071978</v>
      </c>
      <c r="I10">
        <v>5.0297571535256811</v>
      </c>
      <c r="J10">
        <v>5.8621584324386422</v>
      </c>
      <c r="L10" s="7" t="s">
        <v>8</v>
      </c>
      <c r="M10" s="6">
        <f t="shared" si="0"/>
        <v>4.8950162194646325E-3</v>
      </c>
      <c r="N10" s="5">
        <f t="shared" si="1"/>
        <v>0</v>
      </c>
      <c r="O10" s="5">
        <f t="shared" si="2"/>
        <v>0.14276643843850403</v>
      </c>
      <c r="P10" s="5">
        <f t="shared" si="3"/>
        <v>0</v>
      </c>
      <c r="Q10" s="6">
        <f t="shared" si="4"/>
        <v>3.8596554929241361E-5</v>
      </c>
      <c r="R10" s="5">
        <f t="shared" si="5"/>
        <v>0</v>
      </c>
      <c r="S10" s="5">
        <f t="shared" si="6"/>
        <v>1.2884844013707705E-3</v>
      </c>
      <c r="T10" s="5">
        <f t="shared" si="7"/>
        <v>0</v>
      </c>
      <c r="U10" s="7">
        <f t="shared" si="8"/>
        <v>3.2499319833756792E-4</v>
      </c>
    </row>
    <row r="11" spans="1:21" x14ac:dyDescent="0.3">
      <c r="A11" t="s">
        <v>225</v>
      </c>
      <c r="B11">
        <v>0</v>
      </c>
      <c r="C11">
        <v>7.9432823472428099E-4</v>
      </c>
      <c r="D11">
        <v>5.032562553013479</v>
      </c>
      <c r="E11">
        <v>5.0333568812482037</v>
      </c>
      <c r="F11">
        <v>0</v>
      </c>
      <c r="G11">
        <v>0</v>
      </c>
      <c r="H11">
        <v>3.1622776601683798E-3</v>
      </c>
      <c r="I11">
        <v>3.1622776601683798E-3</v>
      </c>
      <c r="J11">
        <v>5.036519158908372</v>
      </c>
      <c r="L11" s="7" t="s">
        <v>10</v>
      </c>
      <c r="M11" s="6">
        <f t="shared" si="0"/>
        <v>4.074617761382048</v>
      </c>
      <c r="N11" s="5">
        <f t="shared" si="1"/>
        <v>0</v>
      </c>
      <c r="O11" s="5">
        <f t="shared" si="2"/>
        <v>0.86404538751402393</v>
      </c>
      <c r="P11" s="5">
        <f t="shared" si="3"/>
        <v>4.3277342669915315</v>
      </c>
      <c r="Q11" s="6">
        <f t="shared" si="4"/>
        <v>1.5420397144905551</v>
      </c>
      <c r="R11" s="5">
        <f t="shared" si="5"/>
        <v>0.38207935608796179</v>
      </c>
      <c r="S11" s="5">
        <f t="shared" si="6"/>
        <v>12.310109555193959</v>
      </c>
      <c r="T11" s="5">
        <f t="shared" si="7"/>
        <v>2.1696517552428065</v>
      </c>
      <c r="U11" s="7">
        <f t="shared" si="8"/>
        <v>1.6921345052379915</v>
      </c>
    </row>
    <row r="12" spans="1:21" x14ac:dyDescent="0.3">
      <c r="A12" t="s">
        <v>227</v>
      </c>
      <c r="B12">
        <v>0</v>
      </c>
      <c r="C12">
        <v>8.4633250790169205E-3</v>
      </c>
      <c r="D12">
        <v>1.9952623149688801E-4</v>
      </c>
      <c r="E12">
        <v>8.6628513105138083E-3</v>
      </c>
      <c r="F12">
        <v>2.4339815569916934E-2</v>
      </c>
      <c r="G12">
        <v>8.2487139875362575E-2</v>
      </c>
      <c r="H12">
        <v>0.92238863387901382</v>
      </c>
      <c r="I12">
        <v>1.0292155893242934</v>
      </c>
      <c r="J12">
        <v>1.0378784406348072</v>
      </c>
      <c r="L12" s="7" t="s">
        <v>11</v>
      </c>
      <c r="M12" s="6">
        <f t="shared" si="0"/>
        <v>24.638363572063874</v>
      </c>
      <c r="N12" s="5">
        <f t="shared" si="1"/>
        <v>0</v>
      </c>
      <c r="O12" s="5">
        <f t="shared" si="2"/>
        <v>0.11340341302272965</v>
      </c>
      <c r="P12" s="5">
        <f t="shared" si="3"/>
        <v>26.356406661486119</v>
      </c>
      <c r="Q12" s="6">
        <f t="shared" si="4"/>
        <v>9.6950162629775378E-4</v>
      </c>
      <c r="R12" s="5">
        <f t="shared" si="5"/>
        <v>0</v>
      </c>
      <c r="S12" s="5">
        <f t="shared" si="6"/>
        <v>0</v>
      </c>
      <c r="T12" s="5">
        <f t="shared" si="7"/>
        <v>2.1607260901734837E-3</v>
      </c>
      <c r="U12" s="7">
        <f t="shared" si="8"/>
        <v>1.45381056368614</v>
      </c>
    </row>
    <row r="13" spans="1:21" x14ac:dyDescent="0.3">
      <c r="A13" t="s">
        <v>229</v>
      </c>
      <c r="B13">
        <v>0</v>
      </c>
      <c r="C13">
        <v>1.588656469448562E-3</v>
      </c>
      <c r="D13">
        <v>0.2246450958119838</v>
      </c>
      <c r="E13">
        <v>0.22623375228143236</v>
      </c>
      <c r="F13">
        <v>0.47613550073675354</v>
      </c>
      <c r="G13">
        <v>1.8221255788090565</v>
      </c>
      <c r="H13">
        <v>4.0577092741176024</v>
      </c>
      <c r="I13">
        <v>6.3559703536634116</v>
      </c>
      <c r="J13">
        <v>6.5822041059448448</v>
      </c>
      <c r="L13" s="7" t="s">
        <v>12</v>
      </c>
      <c r="M13" s="6">
        <f t="shared" si="0"/>
        <v>4.2404797671775539E-2</v>
      </c>
      <c r="N13" s="5">
        <f t="shared" si="1"/>
        <v>0</v>
      </c>
      <c r="O13" s="5">
        <f t="shared" si="2"/>
        <v>1.2082787788785165</v>
      </c>
      <c r="P13" s="5">
        <f t="shared" si="3"/>
        <v>1.0449536278127043E-3</v>
      </c>
      <c r="Q13" s="6">
        <f t="shared" si="4"/>
        <v>0.31554034619710558</v>
      </c>
      <c r="R13" s="5">
        <f t="shared" si="5"/>
        <v>1.4271152863349961E-2</v>
      </c>
      <c r="S13" s="5">
        <f t="shared" si="6"/>
        <v>0.84423899976427319</v>
      </c>
      <c r="T13" s="5">
        <f t="shared" si="7"/>
        <v>0.63025116725383967</v>
      </c>
      <c r="U13" s="7">
        <f t="shared" si="8"/>
        <v>0.29958759079634267</v>
      </c>
    </row>
    <row r="14" spans="1:21" x14ac:dyDescent="0.3">
      <c r="A14" t="s">
        <v>271</v>
      </c>
      <c r="B14">
        <v>0</v>
      </c>
      <c r="C14">
        <v>3.1622776601683798E-3</v>
      </c>
      <c r="D14">
        <v>0</v>
      </c>
      <c r="E14">
        <v>3.1622776601683798E-3</v>
      </c>
      <c r="F14" s="4">
        <v>1.9952623149688801E-4</v>
      </c>
      <c r="G14">
        <v>0</v>
      </c>
      <c r="H14">
        <v>1</v>
      </c>
      <c r="I14">
        <v>0.50009976311574844</v>
      </c>
      <c r="J14">
        <v>0.33445393463055506</v>
      </c>
      <c r="L14" s="7" t="s">
        <v>13</v>
      </c>
      <c r="M14" s="6">
        <f t="shared" si="0"/>
        <v>1.1074178868079552</v>
      </c>
      <c r="N14" s="5">
        <f t="shared" si="1"/>
        <v>0</v>
      </c>
      <c r="O14" s="5">
        <f t="shared" si="2"/>
        <v>0.22680682604545929</v>
      </c>
      <c r="P14" s="5">
        <f t="shared" si="3"/>
        <v>1.1765054954326961</v>
      </c>
      <c r="Q14" s="6">
        <f t="shared" si="4"/>
        <v>1.9486345782327275</v>
      </c>
      <c r="R14" s="5">
        <f t="shared" si="5"/>
        <v>0.27917230905727347</v>
      </c>
      <c r="S14" s="5">
        <f t="shared" si="6"/>
        <v>18.649082492410678</v>
      </c>
      <c r="T14" s="5">
        <f t="shared" si="7"/>
        <v>2.77255802213711</v>
      </c>
      <c r="U14" s="7">
        <f t="shared" si="8"/>
        <v>1.8999784493294714</v>
      </c>
    </row>
    <row r="15" spans="1:21" x14ac:dyDescent="0.3">
      <c r="A15" t="s">
        <v>203</v>
      </c>
      <c r="B15">
        <v>0.63095734448019303</v>
      </c>
      <c r="C15">
        <v>5.5843177579969393E-2</v>
      </c>
      <c r="D15">
        <v>1.2589254117941699E-4</v>
      </c>
      <c r="E15">
        <v>0.68692641460134185</v>
      </c>
      <c r="F15">
        <v>8.4482596651914571E-2</v>
      </c>
      <c r="G15">
        <v>1.6848931924611101E-2</v>
      </c>
      <c r="H15">
        <v>1.4422896614998819</v>
      </c>
      <c r="I15">
        <v>1.5436211900764076</v>
      </c>
      <c r="J15">
        <v>2.2305476046777493</v>
      </c>
      <c r="L15" s="7" t="s">
        <v>14</v>
      </c>
      <c r="M15" s="6">
        <f t="shared" si="0"/>
        <v>1.5479400436974884E-2</v>
      </c>
      <c r="N15" s="5">
        <f t="shared" si="1"/>
        <v>0</v>
      </c>
      <c r="O15" s="5">
        <f t="shared" si="2"/>
        <v>0.45146711889588559</v>
      </c>
      <c r="P15" s="5">
        <f t="shared" si="3"/>
        <v>0</v>
      </c>
      <c r="Q15" s="6">
        <f t="shared" si="4"/>
        <v>0.15332225242549485</v>
      </c>
      <c r="R15" s="5">
        <f t="shared" si="5"/>
        <v>1.1698812350326936E-4</v>
      </c>
      <c r="S15" s="5">
        <f t="shared" si="6"/>
        <v>0</v>
      </c>
      <c r="T15" s="5">
        <f t="shared" si="7"/>
        <v>0.68328158446985732</v>
      </c>
      <c r="U15" s="7">
        <f t="shared" si="8"/>
        <v>9.6541410424750979E-2</v>
      </c>
    </row>
    <row r="16" spans="1:21" x14ac:dyDescent="0.3">
      <c r="A16" t="s">
        <v>233</v>
      </c>
      <c r="B16">
        <v>1.9952623149688798E-3</v>
      </c>
      <c r="C16">
        <v>0.17297969432253066</v>
      </c>
      <c r="D16">
        <v>3.9810717055349699E-2</v>
      </c>
      <c r="E16">
        <v>0.21478567369284923</v>
      </c>
      <c r="F16">
        <v>0</v>
      </c>
      <c r="G16">
        <v>0</v>
      </c>
      <c r="H16">
        <v>1.2589254117941701E-3</v>
      </c>
      <c r="I16">
        <v>1.2589254117941701E-3</v>
      </c>
      <c r="J16">
        <v>0.21604459910464341</v>
      </c>
      <c r="L16" s="7" t="s">
        <v>17</v>
      </c>
      <c r="M16" s="6">
        <f t="shared" si="0"/>
        <v>3.3625159410522549</v>
      </c>
      <c r="N16" s="5">
        <f t="shared" si="1"/>
        <v>99.483968423706116</v>
      </c>
      <c r="O16" s="5">
        <f t="shared" si="2"/>
        <v>7.9725315741811489</v>
      </c>
      <c r="P16" s="5">
        <f t="shared" si="3"/>
        <v>6.593211661096494E-4</v>
      </c>
      <c r="Q16" s="6">
        <f t="shared" si="4"/>
        <v>0.4732485300127206</v>
      </c>
      <c r="R16" s="5">
        <f t="shared" si="5"/>
        <v>4.9534642020967662E-2</v>
      </c>
      <c r="S16" s="5">
        <f t="shared" si="6"/>
        <v>0.17244537095871126</v>
      </c>
      <c r="T16" s="5">
        <f t="shared" si="7"/>
        <v>0.98548996517413345</v>
      </c>
      <c r="U16" s="7">
        <f t="shared" si="8"/>
        <v>0.6438561173245253</v>
      </c>
    </row>
    <row r="17" spans="1:21" x14ac:dyDescent="0.3">
      <c r="A17" t="s">
        <v>232</v>
      </c>
      <c r="B17">
        <v>3.9810717055349703E-4</v>
      </c>
      <c r="C17">
        <v>3.1622776601683798E-3</v>
      </c>
      <c r="D17">
        <v>0.79432823472428105</v>
      </c>
      <c r="E17">
        <v>0.7978886195550029</v>
      </c>
      <c r="F17">
        <v>142.60799074391983</v>
      </c>
      <c r="G17">
        <v>1.0398107170553497</v>
      </c>
      <c r="H17">
        <v>33.305281393428444</v>
      </c>
      <c r="I17">
        <v>176.95308285440359</v>
      </c>
      <c r="J17">
        <v>177.7509714739586</v>
      </c>
      <c r="L17" s="7" t="s">
        <v>18</v>
      </c>
      <c r="M17" s="6">
        <f t="shared" si="0"/>
        <v>1.0513793564351348</v>
      </c>
      <c r="N17" s="5">
        <f t="shared" si="1"/>
        <v>0.31459593089118248</v>
      </c>
      <c r="O17" s="5">
        <f t="shared" si="2"/>
        <v>24.695694880608819</v>
      </c>
      <c r="P17" s="5">
        <f t="shared" si="3"/>
        <v>0.20849565944647039</v>
      </c>
      <c r="Q17" s="6">
        <f t="shared" si="4"/>
        <v>3.8596554929241369E-4</v>
      </c>
      <c r="R17" s="5">
        <f t="shared" si="5"/>
        <v>0</v>
      </c>
      <c r="S17" s="5">
        <f t="shared" si="6"/>
        <v>0</v>
      </c>
      <c r="T17" s="5">
        <f t="shared" si="7"/>
        <v>8.6020055010008808E-4</v>
      </c>
      <c r="U17" s="7">
        <f t="shared" si="8"/>
        <v>6.2362101780179473E-2</v>
      </c>
    </row>
    <row r="18" spans="1:21" x14ac:dyDescent="0.3">
      <c r="A18" t="s">
        <v>231</v>
      </c>
      <c r="B18">
        <v>2.5118864315095801E-4</v>
      </c>
      <c r="C18">
        <v>0</v>
      </c>
      <c r="D18">
        <v>0</v>
      </c>
      <c r="E18">
        <v>2.5118864315095801E-4</v>
      </c>
      <c r="F18">
        <v>2.9952623149688797</v>
      </c>
      <c r="G18">
        <v>5.0118723362727296E-4</v>
      </c>
      <c r="H18">
        <v>85.659550140299999</v>
      </c>
      <c r="I18">
        <v>88.655313642502506</v>
      </c>
      <c r="J18">
        <v>88.655564831145654</v>
      </c>
      <c r="L18" s="7" t="s">
        <v>20</v>
      </c>
      <c r="M18" s="6">
        <f t="shared" si="0"/>
        <v>3.9056777340479845</v>
      </c>
      <c r="N18" s="5">
        <f t="shared" si="1"/>
        <v>6.2770140534972999E-2</v>
      </c>
      <c r="O18" s="5">
        <f t="shared" si="2"/>
        <v>0.45146711889588559</v>
      </c>
      <c r="P18" s="5">
        <f t="shared" si="3"/>
        <v>4.1600353212812768</v>
      </c>
      <c r="Q18" s="6">
        <f t="shared" si="4"/>
        <v>54.250866002895748</v>
      </c>
      <c r="R18" s="5">
        <f t="shared" si="5"/>
        <v>83.615277593026633</v>
      </c>
      <c r="S18" s="5">
        <f t="shared" si="6"/>
        <v>10.642249943899166</v>
      </c>
      <c r="T18" s="5">
        <f t="shared" si="7"/>
        <v>22.756885441716243</v>
      </c>
      <c r="U18" s="7">
        <f t="shared" si="8"/>
        <v>51.308499358577755</v>
      </c>
    </row>
    <row r="19" spans="1:21" x14ac:dyDescent="0.3">
      <c r="A19" t="s">
        <v>230</v>
      </c>
      <c r="B19">
        <v>0</v>
      </c>
      <c r="C19">
        <v>0</v>
      </c>
      <c r="D19">
        <v>0</v>
      </c>
      <c r="E19">
        <v>0</v>
      </c>
      <c r="F19">
        <v>6.4929581370445497</v>
      </c>
      <c r="G19">
        <v>2.519262026701794</v>
      </c>
      <c r="H19">
        <v>3.98107170553497</v>
      </c>
      <c r="I19">
        <v>12.993291869281311</v>
      </c>
      <c r="J19">
        <v>12.993291869281311</v>
      </c>
      <c r="L19" s="7" t="s">
        <v>21</v>
      </c>
      <c r="M19" s="6">
        <f t="shared" si="0"/>
        <v>1.2295724823692532E-3</v>
      </c>
      <c r="N19" s="5">
        <f t="shared" si="1"/>
        <v>3.9605281184595116E-2</v>
      </c>
      <c r="O19" s="5">
        <f t="shared" si="2"/>
        <v>0</v>
      </c>
      <c r="P19" s="5">
        <f t="shared" si="3"/>
        <v>0</v>
      </c>
      <c r="Q19" s="6">
        <f t="shared" si="4"/>
        <v>27.180241583140113</v>
      </c>
      <c r="R19" s="5">
        <f t="shared" si="5"/>
        <v>1.7562107748911857</v>
      </c>
      <c r="S19" s="5">
        <f t="shared" si="6"/>
        <v>5.1295487933203376E-3</v>
      </c>
      <c r="T19" s="5">
        <f t="shared" si="7"/>
        <v>58.529593144839367</v>
      </c>
      <c r="U19" s="7">
        <f t="shared" si="8"/>
        <v>25.590768666710801</v>
      </c>
    </row>
    <row r="20" spans="1:21" x14ac:dyDescent="0.3">
      <c r="L20" s="7" t="s">
        <v>24</v>
      </c>
      <c r="M20" s="6">
        <f t="shared" si="0"/>
        <v>0</v>
      </c>
      <c r="N20" s="5">
        <f t="shared" si="1"/>
        <v>0</v>
      </c>
      <c r="O20" s="5">
        <f t="shared" si="2"/>
        <v>0</v>
      </c>
      <c r="P20" s="5">
        <f t="shared" si="3"/>
        <v>0</v>
      </c>
      <c r="Q20" s="6">
        <f t="shared" si="4"/>
        <v>3.9835267335629436</v>
      </c>
      <c r="R20" s="5">
        <f>F19/$F$21*100</f>
        <v>3.8070131568137842</v>
      </c>
      <c r="S20" s="5">
        <f t="shared" si="6"/>
        <v>25.784131402549608</v>
      </c>
      <c r="T20" s="5">
        <f t="shared" si="7"/>
        <v>2.7201929828460516</v>
      </c>
      <c r="U20" s="7">
        <f t="shared" si="8"/>
        <v>3.750563510357543</v>
      </c>
    </row>
    <row r="21" spans="1:21" x14ac:dyDescent="0.3">
      <c r="A21" t="s">
        <v>272</v>
      </c>
      <c r="B21">
        <f>SUM(B2:B19)</f>
        <v>0.63423017243634772</v>
      </c>
      <c r="C21">
        <f t="shared" ref="C21:J21" si="9">SUM(C2:C19)</f>
        <v>0.70044473402671958</v>
      </c>
      <c r="D21">
        <f t="shared" si="9"/>
        <v>19.094266595785314</v>
      </c>
      <c r="E21">
        <f t="shared" si="9"/>
        <v>20.428941502248382</v>
      </c>
      <c r="F21">
        <f t="shared" si="9"/>
        <v>170.5525531327221</v>
      </c>
      <c r="G21">
        <f t="shared" si="9"/>
        <v>9.7705910172823671</v>
      </c>
      <c r="H21">
        <f t="shared" si="9"/>
        <v>146.35254669945149</v>
      </c>
      <c r="I21">
        <f t="shared" si="9"/>
        <v>326.17559108634021</v>
      </c>
      <c r="J21">
        <f t="shared" si="9"/>
        <v>346.43572448244328</v>
      </c>
      <c r="L21" s="7" t="s">
        <v>275</v>
      </c>
      <c r="M21" s="6">
        <f>E21/$E$21*100</f>
        <v>100</v>
      </c>
      <c r="N21" s="7">
        <f>B21/$B$21*100</f>
        <v>100</v>
      </c>
      <c r="O21" s="7">
        <f>C21/$C$21*100</f>
        <v>100</v>
      </c>
      <c r="P21" s="7">
        <f>D21/$D$21*100</f>
        <v>100</v>
      </c>
      <c r="Q21" s="6">
        <f>I21/$I$21*100</f>
        <v>100</v>
      </c>
      <c r="R21" s="7">
        <f>F21/$F$21*100</f>
        <v>100</v>
      </c>
      <c r="S21" s="7">
        <f>G21/$G$21*100</f>
        <v>100</v>
      </c>
      <c r="T21" s="7">
        <f>H21/$H$21*100</f>
        <v>100</v>
      </c>
      <c r="U21" s="7">
        <f>J21/$J$21*100</f>
        <v>100</v>
      </c>
    </row>
    <row r="22" spans="1:21" x14ac:dyDescent="0.3">
      <c r="A22" t="s">
        <v>273</v>
      </c>
      <c r="B22">
        <f>(B21/$E$21)*100</f>
        <v>3.1045669809497727</v>
      </c>
      <c r="C22">
        <f t="shared" ref="C22:D22" si="10">(C21/$E$21)*100</f>
        <v>3.428688333899383</v>
      </c>
      <c r="D22">
        <f t="shared" si="10"/>
        <v>93.466744685150843</v>
      </c>
      <c r="F22">
        <f>F21/$I$21*100</f>
        <v>52.288570265080338</v>
      </c>
      <c r="G22">
        <f t="shared" ref="G22:H22" si="11">G21/$I$21*100</f>
        <v>2.9955003636970634</v>
      </c>
      <c r="H22">
        <f t="shared" si="11"/>
        <v>44.869251623648097</v>
      </c>
      <c r="L22" s="7"/>
      <c r="M22" s="7">
        <f>SUM(M3:M20)</f>
        <v>99.999999999999986</v>
      </c>
      <c r="N22" s="7">
        <f>SUM(N3:N20)</f>
        <v>100</v>
      </c>
      <c r="O22" s="7">
        <f t="shared" ref="O22:U22" si="12">SUM(O3:O20)</f>
        <v>100</v>
      </c>
      <c r="P22" s="7">
        <f t="shared" si="12"/>
        <v>99.999999999999986</v>
      </c>
      <c r="Q22" s="7">
        <f t="shared" si="12"/>
        <v>99.999999999999986</v>
      </c>
      <c r="R22" s="7">
        <f t="shared" si="12"/>
        <v>100</v>
      </c>
      <c r="S22" s="7">
        <f t="shared" si="12"/>
        <v>100</v>
      </c>
      <c r="T22" s="7">
        <f t="shared" si="12"/>
        <v>100.00000000000001</v>
      </c>
      <c r="U22" s="7">
        <f t="shared" si="12"/>
        <v>99.999999999999986</v>
      </c>
    </row>
    <row r="23" spans="1:21" x14ac:dyDescent="0.3">
      <c r="A23" t="s">
        <v>274</v>
      </c>
      <c r="E23">
        <f>(E21/J21)*100</f>
        <v>5.8968922829099526</v>
      </c>
      <c r="I23">
        <f>I21/J21*100</f>
        <v>94.151834824087317</v>
      </c>
      <c r="L23" s="7"/>
      <c r="M23" s="7"/>
      <c r="N23" s="7">
        <v>1</v>
      </c>
      <c r="O23" s="7">
        <v>2</v>
      </c>
      <c r="P23" s="7">
        <v>3</v>
      </c>
      <c r="Q23" s="7"/>
      <c r="R23" s="7">
        <v>1</v>
      </c>
      <c r="S23" s="7">
        <v>2</v>
      </c>
      <c r="T23" s="7">
        <v>3</v>
      </c>
      <c r="U23" s="7"/>
    </row>
    <row r="24" spans="1:21" x14ac:dyDescent="0.3">
      <c r="L24" s="7" t="s">
        <v>0</v>
      </c>
      <c r="M24" s="7">
        <f>SUM(M3:M10)</f>
        <v>61.800913977619629</v>
      </c>
      <c r="N24" s="7">
        <f t="shared" ref="N24:U24" si="13">SUM(N3:N10)</f>
        <v>9.9060223683127752E-2</v>
      </c>
      <c r="O24" s="7">
        <f t="shared" si="13"/>
        <v>64.016304901957511</v>
      </c>
      <c r="P24" s="7">
        <f t="shared" si="13"/>
        <v>63.769118320567976</v>
      </c>
      <c r="Q24" s="7">
        <f t="shared" si="13"/>
        <v>10.151224791866994</v>
      </c>
      <c r="R24" s="7">
        <f t="shared" si="13"/>
        <v>10.096324027115344</v>
      </c>
      <c r="S24" s="7">
        <f t="shared" si="13"/>
        <v>31.592612686430297</v>
      </c>
      <c r="T24" s="7">
        <f t="shared" si="13"/>
        <v>8.7490750096803165</v>
      </c>
      <c r="U24" s="7">
        <f t="shared" si="13"/>
        <v>13.201897725774483</v>
      </c>
    </row>
    <row r="25" spans="1:21" x14ac:dyDescent="0.3">
      <c r="L25" s="7" t="s">
        <v>9</v>
      </c>
      <c r="M25" s="7">
        <f>SUM(M11:M12)</f>
        <v>28.712981333445921</v>
      </c>
      <c r="N25" s="7">
        <f t="shared" ref="N25:U25" si="14">SUM(N11:N12)</f>
        <v>0</v>
      </c>
      <c r="O25" s="7">
        <f t="shared" si="14"/>
        <v>0.97744880053675354</v>
      </c>
      <c r="P25" s="7">
        <f t="shared" si="14"/>
        <v>30.68414092847765</v>
      </c>
      <c r="Q25" s="7">
        <f t="shared" si="14"/>
        <v>1.5430092161168529</v>
      </c>
      <c r="R25" s="7">
        <f t="shared" si="14"/>
        <v>0.38207935608796179</v>
      </c>
      <c r="S25" s="7">
        <f t="shared" si="14"/>
        <v>12.310109555193959</v>
      </c>
      <c r="T25" s="7">
        <f t="shared" si="14"/>
        <v>2.1718124813329802</v>
      </c>
      <c r="U25" s="7">
        <f t="shared" si="14"/>
        <v>3.1459450689241315</v>
      </c>
    </row>
    <row r="26" spans="1:21" x14ac:dyDescent="0.3">
      <c r="L26" s="7" t="s">
        <v>276</v>
      </c>
      <c r="M26" s="7">
        <f>SUM(M13:M14)</f>
        <v>1.1498226844797308</v>
      </c>
      <c r="N26" s="7">
        <f t="shared" ref="N26:U26" si="15">SUM(N13:N14)</f>
        <v>0</v>
      </c>
      <c r="O26" s="7">
        <f t="shared" si="15"/>
        <v>1.4350856049239757</v>
      </c>
      <c r="P26" s="7">
        <f t="shared" si="15"/>
        <v>1.1775504490605089</v>
      </c>
      <c r="Q26" s="7">
        <f t="shared" si="15"/>
        <v>2.2641749244298328</v>
      </c>
      <c r="R26" s="7">
        <f t="shared" si="15"/>
        <v>0.29344346192062343</v>
      </c>
      <c r="S26" s="7">
        <f t="shared" si="15"/>
        <v>19.49332149217495</v>
      </c>
      <c r="T26" s="7">
        <f t="shared" si="15"/>
        <v>3.4028091893909496</v>
      </c>
      <c r="U26" s="7">
        <f t="shared" si="15"/>
        <v>2.1995660401258141</v>
      </c>
    </row>
    <row r="27" spans="1:21" x14ac:dyDescent="0.3">
      <c r="L27" s="7" t="s">
        <v>277</v>
      </c>
      <c r="M27" s="7">
        <f>SUM(M15)</f>
        <v>1.5479400436974884E-2</v>
      </c>
      <c r="N27" s="7">
        <f t="shared" ref="N27:U27" si="16">SUM(N15)</f>
        <v>0</v>
      </c>
      <c r="O27" s="7">
        <f t="shared" si="16"/>
        <v>0.45146711889588559</v>
      </c>
      <c r="P27" s="7">
        <f t="shared" si="16"/>
        <v>0</v>
      </c>
      <c r="Q27" s="7">
        <f t="shared" si="16"/>
        <v>0.15332225242549485</v>
      </c>
      <c r="R27" s="7">
        <f t="shared" si="16"/>
        <v>1.1698812350326936E-4</v>
      </c>
      <c r="S27" s="7">
        <f t="shared" si="16"/>
        <v>0</v>
      </c>
      <c r="T27" s="7">
        <f t="shared" si="16"/>
        <v>0.68328158446985732</v>
      </c>
      <c r="U27" s="7">
        <f t="shared" si="16"/>
        <v>9.6541410424750979E-2</v>
      </c>
    </row>
    <row r="28" spans="1:21" x14ac:dyDescent="0.3">
      <c r="L28" s="7" t="s">
        <v>16</v>
      </c>
      <c r="M28" s="7">
        <f>SUM(M16:M17)</f>
        <v>4.4138952974873895</v>
      </c>
      <c r="N28" s="7">
        <f t="shared" ref="N28:U28" si="17">SUM(N16:N17)</f>
        <v>99.798564354597303</v>
      </c>
      <c r="O28" s="7">
        <f t="shared" si="17"/>
        <v>32.668226454789966</v>
      </c>
      <c r="P28" s="7">
        <f t="shared" si="17"/>
        <v>0.20915498061258003</v>
      </c>
      <c r="Q28" s="7">
        <f t="shared" si="17"/>
        <v>0.47363449556201304</v>
      </c>
      <c r="R28" s="7">
        <f t="shared" si="17"/>
        <v>4.9534642020967662E-2</v>
      </c>
      <c r="S28" s="7">
        <f t="shared" si="17"/>
        <v>0.17244537095871126</v>
      </c>
      <c r="T28" s="7">
        <f t="shared" si="17"/>
        <v>0.98635016572423351</v>
      </c>
      <c r="U28" s="7">
        <f t="shared" si="17"/>
        <v>0.70621821910470473</v>
      </c>
    </row>
    <row r="29" spans="1:21" x14ac:dyDescent="0.3">
      <c r="L29" s="7" t="s">
        <v>19</v>
      </c>
      <c r="M29" s="7">
        <f>SUM(M18:M19)</f>
        <v>3.9069073065303539</v>
      </c>
      <c r="N29" s="7">
        <f t="shared" ref="N29:U29" si="18">SUM(N18:N19)</f>
        <v>0.10237542171956812</v>
      </c>
      <c r="O29" s="7">
        <f t="shared" si="18"/>
        <v>0.45146711889588559</v>
      </c>
      <c r="P29" s="7">
        <f t="shared" si="18"/>
        <v>4.1600353212812768</v>
      </c>
      <c r="Q29" s="7">
        <f t="shared" si="18"/>
        <v>81.431107586035864</v>
      </c>
      <c r="R29" s="7">
        <f t="shared" si="18"/>
        <v>85.37148836791782</v>
      </c>
      <c r="S29" s="7">
        <f t="shared" si="18"/>
        <v>10.647379492692487</v>
      </c>
      <c r="T29" s="7">
        <f t="shared" si="18"/>
        <v>81.286478586555603</v>
      </c>
      <c r="U29" s="7">
        <f t="shared" si="18"/>
        <v>76.899268025288563</v>
      </c>
    </row>
    <row r="30" spans="1:21" x14ac:dyDescent="0.3">
      <c r="L30" s="7" t="s">
        <v>23</v>
      </c>
      <c r="M30" s="7">
        <f>SUM(M20)</f>
        <v>0</v>
      </c>
      <c r="N30" s="7">
        <f t="shared" ref="N30:U30" si="19">SUM(N20)</f>
        <v>0</v>
      </c>
      <c r="O30" s="7">
        <f t="shared" si="19"/>
        <v>0</v>
      </c>
      <c r="P30" s="7">
        <f t="shared" si="19"/>
        <v>0</v>
      </c>
      <c r="Q30" s="7">
        <f t="shared" si="19"/>
        <v>3.9835267335629436</v>
      </c>
      <c r="R30" s="7">
        <f t="shared" si="19"/>
        <v>3.8070131568137842</v>
      </c>
      <c r="S30" s="7">
        <f t="shared" si="19"/>
        <v>25.784131402549608</v>
      </c>
      <c r="T30" s="7">
        <f t="shared" si="19"/>
        <v>2.7201929828460516</v>
      </c>
      <c r="U30" s="7">
        <f t="shared" si="19"/>
        <v>3.750563510357543</v>
      </c>
    </row>
    <row r="31" spans="1:21" x14ac:dyDescent="0.3">
      <c r="L31" s="7"/>
      <c r="M31" s="7">
        <f>SUM(M24:M30)</f>
        <v>100</v>
      </c>
      <c r="N31" s="7">
        <f t="shared" ref="N31:U31" si="20">SUM(N24:N30)</f>
        <v>100</v>
      </c>
      <c r="O31" s="7">
        <f t="shared" si="20"/>
        <v>99.999999999999972</v>
      </c>
      <c r="P31" s="7">
        <f t="shared" si="20"/>
        <v>99.999999999999986</v>
      </c>
      <c r="Q31" s="7">
        <f t="shared" si="20"/>
        <v>100</v>
      </c>
      <c r="R31" s="7">
        <f t="shared" si="20"/>
        <v>100</v>
      </c>
      <c r="S31" s="7">
        <f t="shared" si="20"/>
        <v>100</v>
      </c>
      <c r="T31" s="7">
        <f t="shared" si="20"/>
        <v>100</v>
      </c>
      <c r="U31" s="7">
        <f t="shared" si="20"/>
        <v>99.999999999999986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D724-675A-42CB-9795-F7F0D7B86F63}">
  <dimension ref="A1:BQ127"/>
  <sheetViews>
    <sheetView workbookViewId="0">
      <selection activeCell="AY13" sqref="A13:XFD13"/>
    </sheetView>
  </sheetViews>
  <sheetFormatPr defaultRowHeight="14.4" x14ac:dyDescent="0.3"/>
  <sheetData>
    <row r="1" spans="1:69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17</v>
      </c>
      <c r="AB1" t="s">
        <v>18</v>
      </c>
      <c r="AC1" t="s">
        <v>20</v>
      </c>
      <c r="AD1" t="s">
        <v>45</v>
      </c>
      <c r="AE1" t="s">
        <v>21</v>
      </c>
      <c r="AF1" t="s">
        <v>22</v>
      </c>
      <c r="AG1" t="s">
        <v>24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</row>
    <row r="2" spans="1:69" x14ac:dyDescent="0.3">
      <c r="A2">
        <v>21001</v>
      </c>
      <c r="B2">
        <v>2020</v>
      </c>
      <c r="C2">
        <v>55</v>
      </c>
      <c r="D2">
        <v>8</v>
      </c>
      <c r="E2">
        <v>2</v>
      </c>
      <c r="F2" t="s">
        <v>82</v>
      </c>
      <c r="G2">
        <v>4</v>
      </c>
      <c r="H2">
        <v>0</v>
      </c>
      <c r="I2">
        <v>4</v>
      </c>
      <c r="J2">
        <v>4</v>
      </c>
      <c r="K2">
        <v>0</v>
      </c>
      <c r="L2" t="s">
        <v>83</v>
      </c>
      <c r="M2" t="s">
        <v>83</v>
      </c>
      <c r="N2" t="s">
        <v>83</v>
      </c>
      <c r="O2" t="s">
        <v>83</v>
      </c>
      <c r="P2" t="s">
        <v>83</v>
      </c>
      <c r="Q2" t="s">
        <v>83</v>
      </c>
      <c r="R2">
        <v>-2.1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83</v>
      </c>
      <c r="Y2" t="s">
        <v>83</v>
      </c>
      <c r="Z2" t="s">
        <v>83</v>
      </c>
      <c r="AA2" t="s">
        <v>83</v>
      </c>
      <c r="AB2" t="s">
        <v>83</v>
      </c>
      <c r="AC2" t="s">
        <v>83</v>
      </c>
      <c r="AD2">
        <v>-0.5</v>
      </c>
      <c r="AE2" t="s">
        <v>83</v>
      </c>
      <c r="AF2" t="s">
        <v>83</v>
      </c>
      <c r="AG2" t="s">
        <v>83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2</v>
      </c>
      <c r="AQ2">
        <v>0</v>
      </c>
      <c r="AR2">
        <v>-1.94170776517039</v>
      </c>
      <c r="AS2" t="s">
        <v>83</v>
      </c>
      <c r="AT2">
        <v>-0.92937002063436902</v>
      </c>
      <c r="AU2" t="s">
        <v>83</v>
      </c>
      <c r="AV2" t="s">
        <v>83</v>
      </c>
      <c r="AW2" t="s">
        <v>83</v>
      </c>
      <c r="AX2" t="s">
        <v>83</v>
      </c>
      <c r="AY2" t="s">
        <v>83</v>
      </c>
      <c r="AZ2">
        <v>7.9432823472428103E-3</v>
      </c>
      <c r="BA2" t="s">
        <v>83</v>
      </c>
      <c r="BB2" t="s">
        <v>83</v>
      </c>
      <c r="BC2" t="s">
        <v>83</v>
      </c>
      <c r="BD2" t="s">
        <v>83</v>
      </c>
      <c r="BE2" t="s">
        <v>83</v>
      </c>
      <c r="BF2" t="s">
        <v>83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83</v>
      </c>
      <c r="BM2">
        <v>0.316227766016838</v>
      </c>
      <c r="BN2" t="s">
        <v>83</v>
      </c>
      <c r="BO2" t="s">
        <v>83</v>
      </c>
      <c r="BP2">
        <v>0.324171048364081</v>
      </c>
      <c r="BQ2">
        <v>-2.6</v>
      </c>
    </row>
    <row r="3" spans="1:69" x14ac:dyDescent="0.3">
      <c r="A3">
        <v>21002</v>
      </c>
      <c r="B3">
        <v>2020</v>
      </c>
      <c r="C3">
        <v>57</v>
      </c>
      <c r="D3">
        <v>10</v>
      </c>
      <c r="E3">
        <v>2</v>
      </c>
      <c r="F3" t="s">
        <v>84</v>
      </c>
      <c r="G3">
        <v>9</v>
      </c>
      <c r="H3">
        <v>3</v>
      </c>
      <c r="I3">
        <v>3</v>
      </c>
      <c r="J3">
        <v>3</v>
      </c>
      <c r="K3">
        <v>100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>
        <v>-1.6</v>
      </c>
      <c r="S3">
        <v>-2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83</v>
      </c>
      <c r="AB3" t="s">
        <v>83</v>
      </c>
      <c r="AC3" t="s">
        <v>83</v>
      </c>
      <c r="AD3">
        <v>-1.6</v>
      </c>
      <c r="AE3" t="s">
        <v>83</v>
      </c>
      <c r="AF3" t="s">
        <v>83</v>
      </c>
      <c r="AG3" t="s">
        <v>83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2</v>
      </c>
      <c r="AQ3">
        <v>0</v>
      </c>
      <c r="AR3">
        <v>1.5285784534320099</v>
      </c>
      <c r="AS3" t="s">
        <v>83</v>
      </c>
      <c r="AT3">
        <v>0.18726980390755099</v>
      </c>
      <c r="AU3" t="s">
        <v>83</v>
      </c>
      <c r="AV3" t="s">
        <v>83</v>
      </c>
      <c r="AW3" t="s">
        <v>83</v>
      </c>
      <c r="AX3" t="s">
        <v>83</v>
      </c>
      <c r="AY3" t="s">
        <v>83</v>
      </c>
      <c r="AZ3">
        <v>2.5118864315095801E-2</v>
      </c>
      <c r="BA3">
        <v>0.01</v>
      </c>
      <c r="BB3" t="s">
        <v>83</v>
      </c>
      <c r="BC3" t="s">
        <v>83</v>
      </c>
      <c r="BD3" t="s">
        <v>83</v>
      </c>
      <c r="BE3" t="s">
        <v>83</v>
      </c>
      <c r="BF3" t="s">
        <v>83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83</v>
      </c>
      <c r="BM3">
        <v>2.5118864315095801E-2</v>
      </c>
      <c r="BN3" t="s">
        <v>83</v>
      </c>
      <c r="BO3" t="s">
        <v>83</v>
      </c>
      <c r="BP3">
        <v>6.0237728630191598E-2</v>
      </c>
      <c r="BQ3">
        <v>-5.2</v>
      </c>
    </row>
    <row r="4" spans="1:69" x14ac:dyDescent="0.3">
      <c r="A4">
        <v>21003</v>
      </c>
      <c r="B4">
        <v>2020</v>
      </c>
      <c r="C4">
        <v>51</v>
      </c>
      <c r="D4">
        <v>12</v>
      </c>
      <c r="E4">
        <v>1</v>
      </c>
      <c r="F4" t="s">
        <v>85</v>
      </c>
      <c r="G4" t="s">
        <v>83</v>
      </c>
      <c r="H4">
        <v>2</v>
      </c>
      <c r="I4">
        <v>2</v>
      </c>
      <c r="J4">
        <v>5</v>
      </c>
      <c r="K4">
        <v>40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>
        <v>-5.2</v>
      </c>
      <c r="S4" t="s">
        <v>83</v>
      </c>
      <c r="T4" t="s">
        <v>83</v>
      </c>
      <c r="U4" t="s">
        <v>83</v>
      </c>
      <c r="V4">
        <v>-4.0999999999999996</v>
      </c>
      <c r="W4" t="s">
        <v>83</v>
      </c>
      <c r="X4">
        <v>-4.4000000000000004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>
        <v>-4.2</v>
      </c>
      <c r="AE4" t="s">
        <v>83</v>
      </c>
      <c r="AF4" t="s">
        <v>83</v>
      </c>
      <c r="AG4" t="s">
        <v>83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4</v>
      </c>
      <c r="AQ4">
        <v>1</v>
      </c>
      <c r="AR4">
        <v>-0.55359327772942901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83</v>
      </c>
      <c r="AY4" t="s">
        <v>83</v>
      </c>
      <c r="AZ4" s="1" t="s">
        <v>86</v>
      </c>
      <c r="BA4" t="s">
        <v>83</v>
      </c>
      <c r="BB4" t="s">
        <v>83</v>
      </c>
      <c r="BC4" t="s">
        <v>83</v>
      </c>
      <c r="BD4" s="1" t="s">
        <v>87</v>
      </c>
      <c r="BE4" t="s">
        <v>83</v>
      </c>
      <c r="BF4" s="1" t="s">
        <v>88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s="1" t="s">
        <v>89</v>
      </c>
      <c r="BN4" t="s">
        <v>83</v>
      </c>
      <c r="BO4" t="s">
        <v>83</v>
      </c>
      <c r="BP4">
        <v>1.8864884842059899E-4</v>
      </c>
      <c r="BQ4">
        <v>-17.899999999999999</v>
      </c>
    </row>
    <row r="5" spans="1:69" x14ac:dyDescent="0.3">
      <c r="A5">
        <v>21004</v>
      </c>
      <c r="B5">
        <v>2020</v>
      </c>
      <c r="C5">
        <v>29</v>
      </c>
      <c r="D5">
        <v>34</v>
      </c>
      <c r="E5">
        <v>2</v>
      </c>
      <c r="F5" t="s">
        <v>90</v>
      </c>
      <c r="G5">
        <v>10</v>
      </c>
      <c r="H5">
        <v>0</v>
      </c>
      <c r="I5">
        <v>5</v>
      </c>
      <c r="J5">
        <v>5</v>
      </c>
      <c r="K5">
        <v>0</v>
      </c>
      <c r="L5" t="s">
        <v>83</v>
      </c>
      <c r="M5" t="s">
        <v>83</v>
      </c>
      <c r="N5" t="s">
        <v>83</v>
      </c>
      <c r="O5" t="s">
        <v>83</v>
      </c>
      <c r="P5">
        <v>-5.7</v>
      </c>
      <c r="Q5" t="s">
        <v>83</v>
      </c>
      <c r="R5">
        <v>-4.5</v>
      </c>
      <c r="S5">
        <v>-4.4000000000000004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>
        <v>-3.8</v>
      </c>
      <c r="AB5" t="s">
        <v>83</v>
      </c>
      <c r="AC5" t="s">
        <v>83</v>
      </c>
      <c r="AD5">
        <v>-3.4</v>
      </c>
      <c r="AE5" t="s">
        <v>83</v>
      </c>
      <c r="AF5" t="s">
        <v>83</v>
      </c>
      <c r="AG5" t="s">
        <v>83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3</v>
      </c>
      <c r="AQ5">
        <v>1</v>
      </c>
      <c r="AR5">
        <v>-1.94170776517039</v>
      </c>
      <c r="AS5" t="s">
        <v>83</v>
      </c>
      <c r="AT5">
        <v>0.41059776881593502</v>
      </c>
      <c r="AU5" t="s">
        <v>83</v>
      </c>
      <c r="AV5" t="s">
        <v>83</v>
      </c>
      <c r="AW5" t="s">
        <v>83</v>
      </c>
      <c r="AX5" s="1" t="s">
        <v>91</v>
      </c>
      <c r="AY5" t="s">
        <v>83</v>
      </c>
      <c r="AZ5" s="1" t="s">
        <v>92</v>
      </c>
      <c r="BA5" s="1" t="s">
        <v>88</v>
      </c>
      <c r="BB5" t="s">
        <v>83</v>
      </c>
      <c r="BC5" t="s">
        <v>83</v>
      </c>
      <c r="BD5" t="s">
        <v>83</v>
      </c>
      <c r="BE5" t="s">
        <v>83</v>
      </c>
      <c r="BF5" t="s">
        <v>83</v>
      </c>
      <c r="BG5" t="s">
        <v>83</v>
      </c>
      <c r="BH5" t="s">
        <v>83</v>
      </c>
      <c r="BI5">
        <v>1.5848931924611101E-4</v>
      </c>
      <c r="BJ5" t="s">
        <v>83</v>
      </c>
      <c r="BK5" t="s">
        <v>83</v>
      </c>
      <c r="BL5" t="s">
        <v>83</v>
      </c>
      <c r="BM5">
        <v>3.9810717055349703E-4</v>
      </c>
      <c r="BN5" t="s">
        <v>83</v>
      </c>
      <c r="BO5" t="s">
        <v>83</v>
      </c>
      <c r="BP5">
        <v>6.3002524577161095E-4</v>
      </c>
      <c r="BQ5">
        <v>-21.8</v>
      </c>
    </row>
    <row r="6" spans="1:69" x14ac:dyDescent="0.3">
      <c r="A6">
        <v>21005</v>
      </c>
      <c r="B6">
        <v>2020</v>
      </c>
      <c r="C6">
        <v>27</v>
      </c>
      <c r="D6">
        <v>35</v>
      </c>
      <c r="E6">
        <v>2</v>
      </c>
      <c r="F6" t="s">
        <v>93</v>
      </c>
      <c r="G6">
        <v>5</v>
      </c>
      <c r="H6">
        <v>2</v>
      </c>
      <c r="I6">
        <v>2</v>
      </c>
      <c r="J6">
        <v>3</v>
      </c>
      <c r="K6">
        <v>67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>
        <v>-3</v>
      </c>
      <c r="S6">
        <v>-3.5</v>
      </c>
      <c r="T6">
        <v>-3</v>
      </c>
      <c r="U6" t="s">
        <v>83</v>
      </c>
      <c r="V6">
        <v>-3</v>
      </c>
      <c r="W6">
        <v>-3.8</v>
      </c>
      <c r="X6">
        <v>-3.1</v>
      </c>
      <c r="Y6" t="s">
        <v>83</v>
      </c>
      <c r="Z6" t="s">
        <v>83</v>
      </c>
      <c r="AA6">
        <v>-2.4</v>
      </c>
      <c r="AB6" t="s">
        <v>83</v>
      </c>
      <c r="AC6">
        <v>-2.5</v>
      </c>
      <c r="AD6">
        <v>-2.2000000000000002</v>
      </c>
      <c r="AE6" t="s">
        <v>83</v>
      </c>
      <c r="AF6" t="s">
        <v>83</v>
      </c>
      <c r="AG6" t="s">
        <v>83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0</v>
      </c>
      <c r="AP6">
        <v>6</v>
      </c>
      <c r="AQ6">
        <v>1</v>
      </c>
      <c r="AR6">
        <v>0.38338400129321698</v>
      </c>
      <c r="AS6" t="s">
        <v>83</v>
      </c>
      <c r="AT6">
        <v>-0.706042055725985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>
        <v>1E-3</v>
      </c>
      <c r="BA6">
        <v>3.1622776601683799E-4</v>
      </c>
      <c r="BB6">
        <v>1E-3</v>
      </c>
      <c r="BC6" t="s">
        <v>83</v>
      </c>
      <c r="BD6">
        <v>1E-3</v>
      </c>
      <c r="BE6">
        <v>1.5848931924611101E-4</v>
      </c>
      <c r="BF6">
        <v>7.9432823472428099E-4</v>
      </c>
      <c r="BG6" t="s">
        <v>83</v>
      </c>
      <c r="BH6" t="s">
        <v>83</v>
      </c>
      <c r="BI6">
        <v>3.9810717055349699E-3</v>
      </c>
      <c r="BJ6" t="s">
        <v>83</v>
      </c>
      <c r="BK6">
        <v>3.1622776601683798E-3</v>
      </c>
      <c r="BL6" t="s">
        <v>83</v>
      </c>
      <c r="BM6">
        <v>6.3095734448019303E-3</v>
      </c>
      <c r="BN6" t="s">
        <v>83</v>
      </c>
      <c r="BO6" t="s">
        <v>83</v>
      </c>
      <c r="BP6">
        <v>1.77219681304925E-2</v>
      </c>
      <c r="BQ6">
        <v>-26.5</v>
      </c>
    </row>
    <row r="7" spans="1:69" x14ac:dyDescent="0.3">
      <c r="A7">
        <v>21006</v>
      </c>
      <c r="B7">
        <v>2020</v>
      </c>
      <c r="C7">
        <v>9</v>
      </c>
      <c r="D7">
        <v>40</v>
      </c>
      <c r="E7">
        <v>2</v>
      </c>
      <c r="F7" t="s">
        <v>94</v>
      </c>
      <c r="G7" t="s">
        <v>83</v>
      </c>
      <c r="H7">
        <v>2</v>
      </c>
      <c r="I7">
        <v>4</v>
      </c>
      <c r="J7">
        <v>5</v>
      </c>
      <c r="K7">
        <v>40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>
        <v>-2.7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>
        <v>-1.7</v>
      </c>
      <c r="AE7" t="s">
        <v>83</v>
      </c>
      <c r="AF7" t="s">
        <v>83</v>
      </c>
      <c r="AG7" t="s">
        <v>83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2</v>
      </c>
      <c r="AQ7">
        <v>0</v>
      </c>
      <c r="AR7">
        <v>-0.55359327772942901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>
        <v>1.9952623149688798E-3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>
        <v>1.9952623149688799E-2</v>
      </c>
      <c r="BN7" t="s">
        <v>83</v>
      </c>
      <c r="BO7" t="s">
        <v>83</v>
      </c>
      <c r="BP7">
        <v>2.1947885464657702E-2</v>
      </c>
      <c r="BQ7">
        <v>-4.4000000000000004</v>
      </c>
    </row>
    <row r="8" spans="1:69" x14ac:dyDescent="0.3">
      <c r="A8">
        <v>21007</v>
      </c>
      <c r="B8">
        <v>2020</v>
      </c>
      <c r="C8">
        <v>35</v>
      </c>
      <c r="D8">
        <v>109</v>
      </c>
      <c r="E8">
        <v>2</v>
      </c>
      <c r="F8" t="s">
        <v>95</v>
      </c>
      <c r="G8">
        <v>5</v>
      </c>
      <c r="H8">
        <v>3</v>
      </c>
      <c r="I8">
        <v>4</v>
      </c>
      <c r="J8">
        <v>5</v>
      </c>
      <c r="K8">
        <v>60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>
        <v>-3.4</v>
      </c>
      <c r="S8">
        <v>-3.6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>
        <v>-2.9</v>
      </c>
      <c r="AE8" t="s">
        <v>83</v>
      </c>
      <c r="AF8" t="s">
        <v>83</v>
      </c>
      <c r="AG8" t="s">
        <v>83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2</v>
      </c>
      <c r="AQ8">
        <v>0</v>
      </c>
      <c r="AR8">
        <v>0.14046396599104899</v>
      </c>
      <c r="AS8" t="s">
        <v>83</v>
      </c>
      <c r="AT8">
        <v>-0.706042055725985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>
        <v>3.9810717055349703E-4</v>
      </c>
      <c r="BA8">
        <v>2.5118864315095801E-4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>
        <v>1.2589254117941701E-3</v>
      </c>
      <c r="BN8" t="s">
        <v>83</v>
      </c>
      <c r="BO8" t="s">
        <v>83</v>
      </c>
      <c r="BP8">
        <v>1.9082212254986201E-3</v>
      </c>
      <c r="BQ8">
        <v>-9.9</v>
      </c>
    </row>
    <row r="9" spans="1:69" x14ac:dyDescent="0.3">
      <c r="A9">
        <v>21008</v>
      </c>
      <c r="B9">
        <v>2020</v>
      </c>
      <c r="C9">
        <v>39</v>
      </c>
      <c r="D9">
        <v>143</v>
      </c>
      <c r="E9">
        <v>1</v>
      </c>
      <c r="F9" t="s">
        <v>96</v>
      </c>
      <c r="G9">
        <v>2.5</v>
      </c>
      <c r="H9">
        <v>2</v>
      </c>
      <c r="I9">
        <v>4</v>
      </c>
      <c r="J9">
        <v>4</v>
      </c>
      <c r="K9">
        <v>50</v>
      </c>
      <c r="L9" t="s">
        <v>83</v>
      </c>
      <c r="M9" t="s">
        <v>83</v>
      </c>
      <c r="N9" t="s">
        <v>83</v>
      </c>
      <c r="O9" t="s">
        <v>83</v>
      </c>
      <c r="P9">
        <v>-5</v>
      </c>
      <c r="Q9" t="s">
        <v>83</v>
      </c>
      <c r="R9">
        <v>-4.4000000000000004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>
        <v>-3</v>
      </c>
      <c r="AE9" t="s">
        <v>83</v>
      </c>
      <c r="AF9" t="s">
        <v>83</v>
      </c>
      <c r="AG9" t="s">
        <v>83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2</v>
      </c>
      <c r="AQ9">
        <v>0</v>
      </c>
      <c r="AR9">
        <v>-0.20656465586919001</v>
      </c>
      <c r="AS9" t="s">
        <v>83</v>
      </c>
      <c r="AT9">
        <v>-1.26436196799695</v>
      </c>
      <c r="AU9" t="s">
        <v>83</v>
      </c>
      <c r="AV9" t="s">
        <v>83</v>
      </c>
      <c r="AW9" t="s">
        <v>83</v>
      </c>
      <c r="AX9" s="1" t="s">
        <v>97</v>
      </c>
      <c r="AY9" t="s">
        <v>83</v>
      </c>
      <c r="AZ9" s="1" t="s">
        <v>88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>
        <v>1E-3</v>
      </c>
      <c r="BN9" t="s">
        <v>83</v>
      </c>
      <c r="BO9" t="s">
        <v>83</v>
      </c>
      <c r="BP9">
        <v>1.04981071705535E-3</v>
      </c>
      <c r="BQ9">
        <v>-12.4</v>
      </c>
    </row>
    <row r="10" spans="1:69" x14ac:dyDescent="0.3">
      <c r="A10">
        <v>21009</v>
      </c>
      <c r="B10">
        <v>2020</v>
      </c>
      <c r="C10">
        <v>33</v>
      </c>
      <c r="D10">
        <v>147</v>
      </c>
      <c r="E10">
        <v>2</v>
      </c>
      <c r="F10" t="s">
        <v>98</v>
      </c>
      <c r="G10">
        <v>3</v>
      </c>
      <c r="H10">
        <v>0</v>
      </c>
      <c r="I10">
        <v>4</v>
      </c>
      <c r="J10">
        <v>4</v>
      </c>
      <c r="K10">
        <v>0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>
        <v>-0.3</v>
      </c>
      <c r="AE10" t="s">
        <v>83</v>
      </c>
      <c r="AF10" t="s">
        <v>83</v>
      </c>
      <c r="AG10" t="s">
        <v>83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-1.94170776517039</v>
      </c>
      <c r="AS10" t="s">
        <v>83</v>
      </c>
      <c r="AT10">
        <v>-1.1526979855427499</v>
      </c>
      <c r="AU10" t="s">
        <v>83</v>
      </c>
      <c r="AV10" t="s">
        <v>83</v>
      </c>
      <c r="AW10" t="s">
        <v>83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83</v>
      </c>
      <c r="BD10" t="s">
        <v>83</v>
      </c>
      <c r="BE10" t="s">
        <v>83</v>
      </c>
      <c r="BF10" t="s">
        <v>83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>
        <v>0.50118723362727202</v>
      </c>
      <c r="BN10" t="s">
        <v>83</v>
      </c>
      <c r="BO10" t="s">
        <v>83</v>
      </c>
      <c r="BP10">
        <v>0.50118723362727202</v>
      </c>
      <c r="BQ10">
        <v>-0.3</v>
      </c>
    </row>
    <row r="11" spans="1:69" x14ac:dyDescent="0.3">
      <c r="A11">
        <v>21010</v>
      </c>
      <c r="B11">
        <v>2020</v>
      </c>
      <c r="C11">
        <v>1</v>
      </c>
      <c r="D11">
        <v>157</v>
      </c>
      <c r="E11">
        <v>2</v>
      </c>
      <c r="F11" t="s">
        <v>99</v>
      </c>
      <c r="G11" t="s">
        <v>83</v>
      </c>
      <c r="H11">
        <v>2</v>
      </c>
      <c r="I11">
        <v>2</v>
      </c>
      <c r="J11">
        <v>2</v>
      </c>
      <c r="K11">
        <v>100</v>
      </c>
      <c r="L11" t="s">
        <v>83</v>
      </c>
      <c r="M11" t="s">
        <v>83</v>
      </c>
      <c r="N11" t="s">
        <v>83</v>
      </c>
      <c r="O11">
        <v>-3.7</v>
      </c>
      <c r="P11">
        <v>-4.9000000000000004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83</v>
      </c>
      <c r="AB11" t="s">
        <v>83</v>
      </c>
      <c r="AC11" t="s">
        <v>83</v>
      </c>
      <c r="AD11">
        <v>-3.8</v>
      </c>
      <c r="AE11" t="s">
        <v>83</v>
      </c>
      <c r="AF11" t="s">
        <v>83</v>
      </c>
      <c r="AG11" t="s">
        <v>83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2</v>
      </c>
      <c r="AQ11">
        <v>0</v>
      </c>
      <c r="AR11">
        <v>1.5285784534320099</v>
      </c>
      <c r="AS11" t="s">
        <v>83</v>
      </c>
      <c r="AT11" t="s">
        <v>83</v>
      </c>
      <c r="AU11" t="s">
        <v>83</v>
      </c>
      <c r="AV11" t="s">
        <v>83</v>
      </c>
      <c r="AW11">
        <v>1.9952623149688801E-4</v>
      </c>
      <c r="AX11" s="1" t="s">
        <v>100</v>
      </c>
      <c r="AY11" t="s">
        <v>83</v>
      </c>
      <c r="AZ11" t="s">
        <v>83</v>
      </c>
      <c r="BA11" t="s">
        <v>83</v>
      </c>
      <c r="BB11" t="s">
        <v>83</v>
      </c>
      <c r="BC11" t="s">
        <v>83</v>
      </c>
      <c r="BD11" t="s">
        <v>83</v>
      </c>
      <c r="BE11" t="s">
        <v>83</v>
      </c>
      <c r="BF11" t="s">
        <v>83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>
        <v>1.5848931924611101E-4</v>
      </c>
      <c r="BN11" t="s">
        <v>83</v>
      </c>
      <c r="BO11" t="s">
        <v>83</v>
      </c>
      <c r="BP11">
        <v>3.7060480486094099E-4</v>
      </c>
      <c r="BQ11">
        <v>-12.4</v>
      </c>
    </row>
    <row r="12" spans="1:69" x14ac:dyDescent="0.3">
      <c r="A12">
        <v>21011</v>
      </c>
      <c r="B12">
        <v>2020</v>
      </c>
      <c r="C12">
        <v>3</v>
      </c>
      <c r="D12">
        <v>160</v>
      </c>
      <c r="E12">
        <v>1</v>
      </c>
      <c r="F12" t="s">
        <v>101</v>
      </c>
      <c r="G12">
        <v>5</v>
      </c>
      <c r="H12">
        <v>0</v>
      </c>
      <c r="I12">
        <v>0</v>
      </c>
      <c r="J12">
        <v>0</v>
      </c>
      <c r="K12">
        <v>0</v>
      </c>
      <c r="L12" t="s">
        <v>83</v>
      </c>
      <c r="M12" t="s">
        <v>83</v>
      </c>
      <c r="N12">
        <v>-3.6</v>
      </c>
      <c r="O12" t="s">
        <v>83</v>
      </c>
      <c r="P12">
        <v>-4.3</v>
      </c>
      <c r="Q12" t="s">
        <v>83</v>
      </c>
      <c r="R12">
        <v>-3.9</v>
      </c>
      <c r="S12">
        <v>-3.6</v>
      </c>
      <c r="T12" t="s">
        <v>83</v>
      </c>
      <c r="U12" t="s">
        <v>83</v>
      </c>
      <c r="V12" t="s">
        <v>83</v>
      </c>
      <c r="W12" t="s">
        <v>83</v>
      </c>
      <c r="X12">
        <v>-4.2</v>
      </c>
      <c r="Y12" t="s">
        <v>83</v>
      </c>
      <c r="Z12" t="s">
        <v>83</v>
      </c>
      <c r="AA12" t="s">
        <v>83</v>
      </c>
      <c r="AB12" t="s">
        <v>83</v>
      </c>
      <c r="AC12">
        <v>-5</v>
      </c>
      <c r="AD12">
        <v>-2.8</v>
      </c>
      <c r="AE12" t="s">
        <v>83</v>
      </c>
      <c r="AF12" t="s">
        <v>83</v>
      </c>
      <c r="AG12" t="s">
        <v>83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4</v>
      </c>
      <c r="AQ12">
        <v>1</v>
      </c>
      <c r="AR12">
        <v>-1.94170776517039</v>
      </c>
      <c r="AS12" t="s">
        <v>83</v>
      </c>
      <c r="AT12">
        <v>-0.706042055725985</v>
      </c>
      <c r="AU12" t="s">
        <v>83</v>
      </c>
      <c r="AV12">
        <v>2.5118864315095801E-4</v>
      </c>
      <c r="AW12" t="s">
        <v>83</v>
      </c>
      <c r="AX12" s="1" t="s">
        <v>102</v>
      </c>
      <c r="AY12" t="s">
        <v>83</v>
      </c>
      <c r="AZ12">
        <v>1.2589254117941699E-4</v>
      </c>
      <c r="BA12">
        <v>2.5118864315095801E-4</v>
      </c>
      <c r="BB12" t="s">
        <v>83</v>
      </c>
      <c r="BC12" t="s">
        <v>83</v>
      </c>
      <c r="BD12" t="s">
        <v>83</v>
      </c>
      <c r="BE12" t="s">
        <v>83</v>
      </c>
      <c r="BF12" s="1" t="s">
        <v>89</v>
      </c>
      <c r="BG12" t="s">
        <v>83</v>
      </c>
      <c r="BH12" t="s">
        <v>83</v>
      </c>
      <c r="BI12" t="s">
        <v>83</v>
      </c>
      <c r="BJ12" t="s">
        <v>83</v>
      </c>
      <c r="BK12" s="1" t="s">
        <v>97</v>
      </c>
      <c r="BL12" t="s">
        <v>83</v>
      </c>
      <c r="BM12">
        <v>1.58489319246111E-3</v>
      </c>
      <c r="BN12" t="s">
        <v>83</v>
      </c>
      <c r="BO12" t="s">
        <v>83</v>
      </c>
      <c r="BP12">
        <v>2.33637747775319E-3</v>
      </c>
      <c r="BQ12">
        <v>-27.4</v>
      </c>
    </row>
    <row r="13" spans="1:69" x14ac:dyDescent="0.3">
      <c r="A13">
        <v>21012</v>
      </c>
      <c r="B13">
        <v>2020</v>
      </c>
      <c r="C13">
        <v>23</v>
      </c>
      <c r="D13">
        <v>230</v>
      </c>
      <c r="E13">
        <v>2</v>
      </c>
      <c r="F13" t="s">
        <v>83</v>
      </c>
      <c r="G13" t="s">
        <v>83</v>
      </c>
      <c r="H13">
        <v>0</v>
      </c>
      <c r="I13">
        <v>2</v>
      </c>
      <c r="J13">
        <v>3</v>
      </c>
      <c r="K13">
        <v>0</v>
      </c>
      <c r="L13" t="s">
        <v>83</v>
      </c>
      <c r="M13" t="s">
        <v>83</v>
      </c>
      <c r="N13" t="s">
        <v>83</v>
      </c>
      <c r="O13" t="s">
        <v>83</v>
      </c>
      <c r="P13">
        <v>-5</v>
      </c>
      <c r="Q13" t="s">
        <v>83</v>
      </c>
      <c r="R13" t="s">
        <v>83</v>
      </c>
      <c r="S13">
        <v>-4</v>
      </c>
      <c r="T13" t="s">
        <v>83</v>
      </c>
      <c r="U13" t="s">
        <v>83</v>
      </c>
      <c r="V13" t="s">
        <v>83</v>
      </c>
      <c r="W13" t="s">
        <v>83</v>
      </c>
      <c r="X13" t="s">
        <v>83</v>
      </c>
      <c r="Y13" t="s">
        <v>83</v>
      </c>
      <c r="Z13" t="s">
        <v>83</v>
      </c>
      <c r="AA13" t="s">
        <v>83</v>
      </c>
      <c r="AB13" t="s">
        <v>83</v>
      </c>
      <c r="AC13" t="s">
        <v>83</v>
      </c>
      <c r="AD13">
        <v>-3.4</v>
      </c>
      <c r="AE13" t="s">
        <v>83</v>
      </c>
      <c r="AF13" t="s">
        <v>83</v>
      </c>
      <c r="AG13">
        <v>-4.5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3</v>
      </c>
      <c r="AQ13">
        <v>1</v>
      </c>
      <c r="AR13">
        <v>-1.94170776517039</v>
      </c>
      <c r="AS13" t="s">
        <v>83</v>
      </c>
      <c r="AT13" t="s">
        <v>83</v>
      </c>
      <c r="AU13" t="s">
        <v>83</v>
      </c>
      <c r="AV13" t="s">
        <v>83</v>
      </c>
      <c r="AW13" t="s">
        <v>83</v>
      </c>
      <c r="AX13" s="1" t="s">
        <v>97</v>
      </c>
      <c r="AY13" t="s">
        <v>83</v>
      </c>
      <c r="AZ13" t="s">
        <v>83</v>
      </c>
      <c r="BA13" s="1" t="s">
        <v>103</v>
      </c>
      <c r="BB13" t="s">
        <v>83</v>
      </c>
      <c r="BC13" t="s">
        <v>83</v>
      </c>
      <c r="BD13" t="s">
        <v>83</v>
      </c>
      <c r="BE13" t="s">
        <v>83</v>
      </c>
      <c r="BF13" t="s">
        <v>83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83</v>
      </c>
      <c r="BM13">
        <v>3.9810717055349703E-4</v>
      </c>
      <c r="BN13" t="s">
        <v>83</v>
      </c>
      <c r="BO13" s="1" t="s">
        <v>92</v>
      </c>
      <c r="BP13">
        <v>5.3972994715518097E-4</v>
      </c>
      <c r="BQ13">
        <v>-16.899999999999999</v>
      </c>
    </row>
    <row r="14" spans="1:69" x14ac:dyDescent="0.3">
      <c r="A14">
        <v>21013</v>
      </c>
      <c r="B14">
        <v>2020</v>
      </c>
      <c r="C14">
        <v>15</v>
      </c>
      <c r="D14">
        <v>234</v>
      </c>
      <c r="E14">
        <v>2</v>
      </c>
      <c r="F14" t="s">
        <v>104</v>
      </c>
      <c r="G14">
        <v>6</v>
      </c>
      <c r="H14">
        <v>0</v>
      </c>
      <c r="I14">
        <v>4</v>
      </c>
      <c r="J14">
        <v>4</v>
      </c>
      <c r="K14">
        <v>0</v>
      </c>
      <c r="L14" t="s">
        <v>83</v>
      </c>
      <c r="M14" t="s">
        <v>83</v>
      </c>
      <c r="N14" t="s">
        <v>83</v>
      </c>
      <c r="O14" t="s">
        <v>83</v>
      </c>
      <c r="P14" t="s">
        <v>83</v>
      </c>
      <c r="Q14" t="s">
        <v>83</v>
      </c>
      <c r="R14">
        <v>-0.5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>
        <v>1.7</v>
      </c>
      <c r="AE14" t="s">
        <v>83</v>
      </c>
      <c r="AF14" t="s">
        <v>83</v>
      </c>
      <c r="AG14" t="s">
        <v>83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2</v>
      </c>
      <c r="AQ14">
        <v>0</v>
      </c>
      <c r="AR14">
        <v>-1.94170776517039</v>
      </c>
      <c r="AS14" t="s">
        <v>83</v>
      </c>
      <c r="AT14">
        <v>-0.48271409081760103</v>
      </c>
      <c r="AU14" t="s">
        <v>83</v>
      </c>
      <c r="AV14" t="s">
        <v>83</v>
      </c>
      <c r="AW14" t="s">
        <v>83</v>
      </c>
      <c r="AX14" t="s">
        <v>83</v>
      </c>
      <c r="AY14" t="s">
        <v>83</v>
      </c>
      <c r="AZ14">
        <v>0.316227766016838</v>
      </c>
      <c r="BA14" t="s">
        <v>83</v>
      </c>
      <c r="BB14" t="s">
        <v>83</v>
      </c>
      <c r="BC14" t="s">
        <v>83</v>
      </c>
      <c r="BD14" t="s">
        <v>83</v>
      </c>
      <c r="BE14" t="s">
        <v>83</v>
      </c>
      <c r="BF14" t="s">
        <v>83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>
        <v>50.118723362727202</v>
      </c>
      <c r="BN14" t="s">
        <v>83</v>
      </c>
      <c r="BO14" t="s">
        <v>83</v>
      </c>
      <c r="BP14">
        <v>50.434951128744103</v>
      </c>
      <c r="BQ14">
        <v>1.2</v>
      </c>
    </row>
    <row r="15" spans="1:69" x14ac:dyDescent="0.3">
      <c r="A15">
        <v>21014</v>
      </c>
      <c r="B15">
        <v>2020</v>
      </c>
      <c r="C15">
        <v>43</v>
      </c>
      <c r="D15">
        <v>236</v>
      </c>
      <c r="E15">
        <v>2</v>
      </c>
      <c r="F15" t="s">
        <v>105</v>
      </c>
      <c r="G15">
        <v>7</v>
      </c>
      <c r="H15">
        <v>1</v>
      </c>
      <c r="I15">
        <v>2</v>
      </c>
      <c r="J15">
        <v>2</v>
      </c>
      <c r="K15">
        <v>50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>
        <v>-0.8</v>
      </c>
      <c r="AC15" t="s">
        <v>83</v>
      </c>
      <c r="AD15">
        <v>1.7</v>
      </c>
      <c r="AE15" t="s">
        <v>83</v>
      </c>
      <c r="AF15" t="s">
        <v>83</v>
      </c>
      <c r="AG15" t="s">
        <v>83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2</v>
      </c>
      <c r="AQ15">
        <v>0</v>
      </c>
      <c r="AR15">
        <v>-0.20656465586919001</v>
      </c>
      <c r="AS15" t="s">
        <v>83</v>
      </c>
      <c r="AT15">
        <v>-0.259386125909217</v>
      </c>
      <c r="AU15" t="s">
        <v>83</v>
      </c>
      <c r="AV15" t="s">
        <v>83</v>
      </c>
      <c r="AW15" t="s">
        <v>83</v>
      </c>
      <c r="AX15" t="s">
        <v>83</v>
      </c>
      <c r="AY15" t="s">
        <v>83</v>
      </c>
      <c r="AZ15" t="s">
        <v>83</v>
      </c>
      <c r="BA15" t="s">
        <v>83</v>
      </c>
      <c r="BB15" t="s">
        <v>83</v>
      </c>
      <c r="BC15" t="s">
        <v>83</v>
      </c>
      <c r="BD15" t="s">
        <v>83</v>
      </c>
      <c r="BE15" t="s">
        <v>83</v>
      </c>
      <c r="BF15" t="s">
        <v>83</v>
      </c>
      <c r="BG15" t="s">
        <v>83</v>
      </c>
      <c r="BH15" t="s">
        <v>83</v>
      </c>
      <c r="BI15" t="s">
        <v>83</v>
      </c>
      <c r="BJ15">
        <v>0.15848931924611101</v>
      </c>
      <c r="BK15" t="s">
        <v>83</v>
      </c>
      <c r="BL15" t="s">
        <v>83</v>
      </c>
      <c r="BM15">
        <v>50.118723362727202</v>
      </c>
      <c r="BN15" t="s">
        <v>83</v>
      </c>
      <c r="BO15" t="s">
        <v>83</v>
      </c>
      <c r="BP15">
        <v>50.277212681973303</v>
      </c>
      <c r="BQ15">
        <v>0.9</v>
      </c>
    </row>
    <row r="16" spans="1:69" x14ac:dyDescent="0.3">
      <c r="A16">
        <v>21015</v>
      </c>
      <c r="B16">
        <v>2020</v>
      </c>
      <c r="C16">
        <v>17</v>
      </c>
      <c r="D16">
        <v>240</v>
      </c>
      <c r="E16">
        <v>2</v>
      </c>
      <c r="F16" t="s">
        <v>106</v>
      </c>
      <c r="G16">
        <v>10</v>
      </c>
      <c r="H16">
        <v>0</v>
      </c>
      <c r="I16">
        <v>4</v>
      </c>
      <c r="J16">
        <v>4</v>
      </c>
      <c r="K16">
        <v>0</v>
      </c>
      <c r="L16" t="s">
        <v>83</v>
      </c>
      <c r="M16" t="s">
        <v>83</v>
      </c>
      <c r="N16">
        <v>-3.7</v>
      </c>
      <c r="O16" t="s">
        <v>83</v>
      </c>
      <c r="P16">
        <v>-3.8</v>
      </c>
      <c r="Q16" t="s">
        <v>83</v>
      </c>
      <c r="R16" t="s">
        <v>83</v>
      </c>
      <c r="S16">
        <v>-3.7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 t="s">
        <v>83</v>
      </c>
      <c r="Z16" t="s">
        <v>83</v>
      </c>
      <c r="AA16">
        <v>-2.8</v>
      </c>
      <c r="AB16" t="s">
        <v>83</v>
      </c>
      <c r="AC16" t="s">
        <v>83</v>
      </c>
      <c r="AD16">
        <v>-3.5</v>
      </c>
      <c r="AE16" t="s">
        <v>83</v>
      </c>
      <c r="AF16" t="s">
        <v>83</v>
      </c>
      <c r="AG16" t="s">
        <v>83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1</v>
      </c>
      <c r="AR16">
        <v>-1.94170776517039</v>
      </c>
      <c r="AS16" t="s">
        <v>83</v>
      </c>
      <c r="AT16">
        <v>0.41059776881593502</v>
      </c>
      <c r="AU16" t="s">
        <v>83</v>
      </c>
      <c r="AV16">
        <v>1.9952623149688801E-4</v>
      </c>
      <c r="AW16" t="s">
        <v>83</v>
      </c>
      <c r="AX16">
        <v>1.5848931924611101E-4</v>
      </c>
      <c r="AY16" t="s">
        <v>83</v>
      </c>
      <c r="AZ16" t="s">
        <v>83</v>
      </c>
      <c r="BA16">
        <v>1.9952623149688801E-4</v>
      </c>
      <c r="BB16" t="s">
        <v>83</v>
      </c>
      <c r="BC16" t="s">
        <v>83</v>
      </c>
      <c r="BD16" t="s">
        <v>83</v>
      </c>
      <c r="BE16" t="s">
        <v>83</v>
      </c>
      <c r="BF16" t="s">
        <v>83</v>
      </c>
      <c r="BG16" t="s">
        <v>83</v>
      </c>
      <c r="BH16" t="s">
        <v>83</v>
      </c>
      <c r="BI16">
        <v>1.58489319246111E-3</v>
      </c>
      <c r="BJ16" t="s">
        <v>83</v>
      </c>
      <c r="BK16" t="s">
        <v>83</v>
      </c>
      <c r="BL16" t="s">
        <v>83</v>
      </c>
      <c r="BM16">
        <v>3.1622776601683799E-4</v>
      </c>
      <c r="BN16" t="s">
        <v>83</v>
      </c>
      <c r="BO16" t="s">
        <v>83</v>
      </c>
      <c r="BP16">
        <v>2.4586627407178398E-3</v>
      </c>
      <c r="BQ16">
        <v>-17.5</v>
      </c>
    </row>
    <row r="17" spans="1:69" x14ac:dyDescent="0.3">
      <c r="A17">
        <v>21016</v>
      </c>
      <c r="B17">
        <v>2020</v>
      </c>
      <c r="C17">
        <v>37</v>
      </c>
      <c r="D17">
        <v>300</v>
      </c>
      <c r="E17">
        <v>1</v>
      </c>
      <c r="F17" t="s">
        <v>107</v>
      </c>
      <c r="G17">
        <v>4</v>
      </c>
      <c r="H17">
        <v>1</v>
      </c>
      <c r="I17">
        <v>4</v>
      </c>
      <c r="J17">
        <v>3</v>
      </c>
      <c r="K17">
        <v>33</v>
      </c>
      <c r="L17" t="s">
        <v>83</v>
      </c>
      <c r="M17" t="s">
        <v>83</v>
      </c>
      <c r="N17" t="s">
        <v>83</v>
      </c>
      <c r="O17" t="s">
        <v>83</v>
      </c>
      <c r="P17">
        <v>-4.8</v>
      </c>
      <c r="Q17">
        <v>-4.5</v>
      </c>
      <c r="R17" t="s">
        <v>83</v>
      </c>
      <c r="S17" t="s">
        <v>83</v>
      </c>
      <c r="T17" t="s">
        <v>83</v>
      </c>
      <c r="U17" t="s">
        <v>83</v>
      </c>
      <c r="V17">
        <v>-4.2</v>
      </c>
      <c r="W17">
        <v>-4.5999999999999996</v>
      </c>
      <c r="X17">
        <v>-4.5</v>
      </c>
      <c r="Y17">
        <v>-4.2</v>
      </c>
      <c r="Z17" t="s">
        <v>83</v>
      </c>
      <c r="AA17">
        <v>-0.2</v>
      </c>
      <c r="AB17">
        <v>-2.7</v>
      </c>
      <c r="AC17" t="s">
        <v>83</v>
      </c>
      <c r="AD17">
        <v>-4</v>
      </c>
      <c r="AE17" t="s">
        <v>83</v>
      </c>
      <c r="AF17" t="s">
        <v>83</v>
      </c>
      <c r="AG17" t="s">
        <v>83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6</v>
      </c>
      <c r="AQ17">
        <v>1</v>
      </c>
      <c r="AR17">
        <v>-0.796513313031597</v>
      </c>
      <c r="AS17" t="s">
        <v>83</v>
      </c>
      <c r="AT17">
        <v>-0.92937002063436902</v>
      </c>
      <c r="AU17" t="s">
        <v>83</v>
      </c>
      <c r="AV17" t="s">
        <v>83</v>
      </c>
      <c r="AW17" t="s">
        <v>83</v>
      </c>
      <c r="AX17" s="1" t="s">
        <v>108</v>
      </c>
      <c r="AY17" s="1" t="s">
        <v>92</v>
      </c>
      <c r="AZ17" t="s">
        <v>83</v>
      </c>
      <c r="BA17" t="s">
        <v>83</v>
      </c>
      <c r="BB17" t="s">
        <v>83</v>
      </c>
      <c r="BC17" t="s">
        <v>83</v>
      </c>
      <c r="BD17" s="1" t="s">
        <v>89</v>
      </c>
      <c r="BE17" s="1" t="s">
        <v>109</v>
      </c>
      <c r="BF17" s="1" t="s">
        <v>92</v>
      </c>
      <c r="BG17" s="1" t="s">
        <v>89</v>
      </c>
      <c r="BH17" t="s">
        <v>83</v>
      </c>
      <c r="BI17">
        <v>0.63095734448019303</v>
      </c>
      <c r="BJ17">
        <v>1.9952623149688798E-3</v>
      </c>
      <c r="BK17" t="s">
        <v>83</v>
      </c>
      <c r="BL17" t="s">
        <v>83</v>
      </c>
      <c r="BM17" s="1" t="s">
        <v>103</v>
      </c>
      <c r="BN17" t="s">
        <v>83</v>
      </c>
      <c r="BO17" t="s">
        <v>83</v>
      </c>
      <c r="BP17">
        <v>0.63328301161350098</v>
      </c>
      <c r="BQ17">
        <v>-33.700000000000003</v>
      </c>
    </row>
    <row r="18" spans="1:69" x14ac:dyDescent="0.3">
      <c r="A18">
        <v>21017</v>
      </c>
      <c r="B18">
        <v>2020</v>
      </c>
      <c r="C18">
        <v>25</v>
      </c>
      <c r="D18">
        <v>304</v>
      </c>
      <c r="E18">
        <v>2</v>
      </c>
      <c r="F18" t="s">
        <v>110</v>
      </c>
      <c r="G18">
        <v>6</v>
      </c>
      <c r="H18">
        <v>4</v>
      </c>
      <c r="I18">
        <v>4</v>
      </c>
      <c r="J18">
        <v>4</v>
      </c>
      <c r="K18">
        <v>100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>
        <v>-4.0999999999999996</v>
      </c>
      <c r="S18" t="s">
        <v>83</v>
      </c>
      <c r="T18" t="s">
        <v>83</v>
      </c>
      <c r="U18" t="s">
        <v>83</v>
      </c>
      <c r="V18">
        <v>-3.2</v>
      </c>
      <c r="W18">
        <v>-2.7</v>
      </c>
      <c r="X18">
        <v>-3.1</v>
      </c>
      <c r="Y18">
        <v>-2.5</v>
      </c>
      <c r="Z18" t="s">
        <v>83</v>
      </c>
      <c r="AA18">
        <v>-1.3</v>
      </c>
      <c r="AB18">
        <v>-1.9</v>
      </c>
      <c r="AC18" t="s">
        <v>83</v>
      </c>
      <c r="AD18">
        <v>-3.4</v>
      </c>
      <c r="AE18" t="s">
        <v>83</v>
      </c>
      <c r="AF18" t="s">
        <v>83</v>
      </c>
      <c r="AG18" t="s">
        <v>83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6</v>
      </c>
      <c r="AQ18">
        <v>1</v>
      </c>
      <c r="AR18">
        <v>1.5285784534320099</v>
      </c>
      <c r="AS18" t="s">
        <v>83</v>
      </c>
      <c r="AT18">
        <v>-0.48271409081760103</v>
      </c>
      <c r="AU18" t="s">
        <v>83</v>
      </c>
      <c r="AV18" t="s">
        <v>83</v>
      </c>
      <c r="AW18" t="s">
        <v>83</v>
      </c>
      <c r="AX18" t="s">
        <v>83</v>
      </c>
      <c r="AY18" t="s">
        <v>83</v>
      </c>
      <c r="AZ18" s="1" t="s">
        <v>87</v>
      </c>
      <c r="BA18" t="s">
        <v>83</v>
      </c>
      <c r="BB18" t="s">
        <v>83</v>
      </c>
      <c r="BC18" t="s">
        <v>83</v>
      </c>
      <c r="BD18">
        <v>6.3095734448019298E-4</v>
      </c>
      <c r="BE18">
        <v>1.9952623149688798E-3</v>
      </c>
      <c r="BF18">
        <v>7.9432823472428099E-4</v>
      </c>
      <c r="BG18">
        <v>3.1622776601683798E-3</v>
      </c>
      <c r="BH18" t="s">
        <v>83</v>
      </c>
      <c r="BI18">
        <v>5.0118723362727199E-2</v>
      </c>
      <c r="BJ18">
        <v>1.2589254117941699E-2</v>
      </c>
      <c r="BK18" t="s">
        <v>83</v>
      </c>
      <c r="BL18" t="s">
        <v>83</v>
      </c>
      <c r="BM18">
        <v>3.9810717055349703E-4</v>
      </c>
      <c r="BN18" t="s">
        <v>83</v>
      </c>
      <c r="BO18" t="s">
        <v>83</v>
      </c>
      <c r="BP18">
        <v>6.9768343029036506E-2</v>
      </c>
      <c r="BQ18">
        <v>-22.2</v>
      </c>
    </row>
    <row r="19" spans="1:69" x14ac:dyDescent="0.3">
      <c r="A19">
        <v>21018</v>
      </c>
      <c r="B19">
        <v>2020</v>
      </c>
      <c r="C19">
        <v>21</v>
      </c>
      <c r="D19">
        <v>305</v>
      </c>
      <c r="E19">
        <v>2</v>
      </c>
      <c r="F19" t="s">
        <v>111</v>
      </c>
      <c r="G19">
        <v>10</v>
      </c>
      <c r="H19">
        <v>0</v>
      </c>
      <c r="I19">
        <v>1</v>
      </c>
      <c r="J19">
        <v>2</v>
      </c>
      <c r="K19">
        <v>0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>
        <v>-2.9</v>
      </c>
      <c r="S19" t="s">
        <v>83</v>
      </c>
      <c r="T19" t="s">
        <v>83</v>
      </c>
      <c r="U19" t="s">
        <v>83</v>
      </c>
      <c r="V19">
        <v>-2.5</v>
      </c>
      <c r="W19">
        <v>-2.2000000000000002</v>
      </c>
      <c r="X19" t="s">
        <v>83</v>
      </c>
      <c r="Y19" t="s">
        <v>83</v>
      </c>
      <c r="Z19" t="s">
        <v>83</v>
      </c>
      <c r="AA19" t="s">
        <v>83</v>
      </c>
      <c r="AB19">
        <v>-2.8</v>
      </c>
      <c r="AC19" t="s">
        <v>83</v>
      </c>
      <c r="AD19" t="s">
        <v>83</v>
      </c>
      <c r="AE19" t="s">
        <v>83</v>
      </c>
      <c r="AF19" t="s">
        <v>83</v>
      </c>
      <c r="AG19" t="s">
        <v>83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4</v>
      </c>
      <c r="AQ19">
        <v>1</v>
      </c>
      <c r="AR19">
        <v>-1.94170776517039</v>
      </c>
      <c r="AS19" t="s">
        <v>83</v>
      </c>
      <c r="AT19">
        <v>0.41059776881593502</v>
      </c>
      <c r="AU19" t="s">
        <v>83</v>
      </c>
      <c r="AV19" t="s">
        <v>83</v>
      </c>
      <c r="AW19" t="s">
        <v>83</v>
      </c>
      <c r="AX19" t="s">
        <v>83</v>
      </c>
      <c r="AY19" t="s">
        <v>83</v>
      </c>
      <c r="AZ19">
        <v>1.2589254117941701E-3</v>
      </c>
      <c r="BA19" t="s">
        <v>83</v>
      </c>
      <c r="BB19" t="s">
        <v>83</v>
      </c>
      <c r="BC19" t="s">
        <v>83</v>
      </c>
      <c r="BD19">
        <v>3.1622776601683798E-3</v>
      </c>
      <c r="BE19">
        <v>6.3095734448019303E-3</v>
      </c>
      <c r="BF19" t="s">
        <v>83</v>
      </c>
      <c r="BG19" t="s">
        <v>83</v>
      </c>
      <c r="BH19" t="s">
        <v>83</v>
      </c>
      <c r="BI19" t="s">
        <v>83</v>
      </c>
      <c r="BJ19">
        <v>1.58489319246111E-3</v>
      </c>
      <c r="BK19" t="s">
        <v>83</v>
      </c>
      <c r="BL19" t="s">
        <v>83</v>
      </c>
      <c r="BM19" t="s">
        <v>83</v>
      </c>
      <c r="BN19" t="s">
        <v>83</v>
      </c>
      <c r="BO19" t="s">
        <v>83</v>
      </c>
      <c r="BP19">
        <v>1.23156697092256E-2</v>
      </c>
      <c r="BQ19">
        <v>-10.4</v>
      </c>
    </row>
    <row r="20" spans="1:69" x14ac:dyDescent="0.3">
      <c r="A20">
        <v>21019</v>
      </c>
      <c r="B20">
        <v>2020</v>
      </c>
      <c r="C20">
        <v>19</v>
      </c>
      <c r="D20">
        <v>802</v>
      </c>
      <c r="E20">
        <v>1</v>
      </c>
      <c r="F20" t="s">
        <v>112</v>
      </c>
      <c r="G20" t="s">
        <v>83</v>
      </c>
      <c r="H20">
        <v>0</v>
      </c>
      <c r="I20">
        <v>0</v>
      </c>
      <c r="J20">
        <v>1</v>
      </c>
      <c r="K20">
        <v>0</v>
      </c>
      <c r="L20" t="s">
        <v>83</v>
      </c>
      <c r="M20">
        <v>-5.9</v>
      </c>
      <c r="N20" t="s">
        <v>83</v>
      </c>
      <c r="O20">
        <v>-5.3</v>
      </c>
      <c r="P20" t="s">
        <v>83</v>
      </c>
      <c r="Q20" t="s">
        <v>83</v>
      </c>
      <c r="R20">
        <v>-4.8</v>
      </c>
      <c r="S20">
        <v>-4.3</v>
      </c>
      <c r="T20" t="s">
        <v>83</v>
      </c>
      <c r="U20" t="s">
        <v>83</v>
      </c>
      <c r="V20">
        <v>-5.3</v>
      </c>
      <c r="W20" t="s">
        <v>83</v>
      </c>
      <c r="X20">
        <v>-5.3</v>
      </c>
      <c r="Y20">
        <v>-5.6</v>
      </c>
      <c r="Z20" t="s">
        <v>83</v>
      </c>
      <c r="AA20">
        <v>-4.3</v>
      </c>
      <c r="AB20">
        <v>-5.3</v>
      </c>
      <c r="AC20">
        <v>-3.4</v>
      </c>
      <c r="AD20">
        <v>-1.7</v>
      </c>
      <c r="AE20" t="s">
        <v>83</v>
      </c>
      <c r="AF20" t="s">
        <v>83</v>
      </c>
      <c r="AG20" t="s">
        <v>83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7</v>
      </c>
      <c r="AQ20">
        <v>1</v>
      </c>
      <c r="AR20">
        <v>-1.94170776517039</v>
      </c>
      <c r="AS20" t="s">
        <v>83</v>
      </c>
      <c r="AT20" t="s">
        <v>83</v>
      </c>
      <c r="AU20" s="1" t="s">
        <v>113</v>
      </c>
      <c r="AV20" t="s">
        <v>83</v>
      </c>
      <c r="AW20" s="1" t="s">
        <v>114</v>
      </c>
      <c r="AX20" t="s">
        <v>83</v>
      </c>
      <c r="AY20" t="s">
        <v>83</v>
      </c>
      <c r="AZ20" s="1" t="s">
        <v>108</v>
      </c>
      <c r="BA20" s="1" t="s">
        <v>102</v>
      </c>
      <c r="BB20" t="s">
        <v>83</v>
      </c>
      <c r="BC20" t="s">
        <v>83</v>
      </c>
      <c r="BD20" s="1" t="s">
        <v>114</v>
      </c>
      <c r="BE20" t="s">
        <v>83</v>
      </c>
      <c r="BF20" s="1" t="s">
        <v>114</v>
      </c>
      <c r="BG20" s="1" t="s">
        <v>115</v>
      </c>
      <c r="BH20" t="s">
        <v>83</v>
      </c>
      <c r="BI20" s="1" t="s">
        <v>102</v>
      </c>
      <c r="BJ20" s="1" t="s">
        <v>114</v>
      </c>
      <c r="BK20">
        <v>3.9810717055349703E-4</v>
      </c>
      <c r="BL20" t="s">
        <v>83</v>
      </c>
      <c r="BM20">
        <v>1.9952623149688799E-2</v>
      </c>
      <c r="BN20" t="s">
        <v>83</v>
      </c>
      <c r="BO20" t="s">
        <v>83</v>
      </c>
      <c r="BP20">
        <v>2.04906350000808E-2</v>
      </c>
      <c r="BQ20">
        <v>-51.2</v>
      </c>
    </row>
    <row r="21" spans="1:69" x14ac:dyDescent="0.3">
      <c r="A21">
        <v>21020</v>
      </c>
      <c r="B21">
        <v>2020</v>
      </c>
      <c r="C21">
        <v>41</v>
      </c>
      <c r="D21">
        <v>901</v>
      </c>
      <c r="E21">
        <v>2</v>
      </c>
      <c r="F21" t="s">
        <v>116</v>
      </c>
      <c r="G21">
        <v>19</v>
      </c>
      <c r="H21">
        <v>3</v>
      </c>
      <c r="I21">
        <v>4</v>
      </c>
      <c r="J21">
        <v>5</v>
      </c>
      <c r="K21">
        <v>60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>
        <v>-4.9000000000000004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>
        <v>-3.5</v>
      </c>
      <c r="AC21" t="s">
        <v>83</v>
      </c>
      <c r="AD21">
        <v>-1.8</v>
      </c>
      <c r="AE21" t="s">
        <v>83</v>
      </c>
      <c r="AF21" t="s">
        <v>83</v>
      </c>
      <c r="AG21" t="s">
        <v>83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3</v>
      </c>
      <c r="AQ21">
        <v>1</v>
      </c>
      <c r="AR21">
        <v>0.14046396599104899</v>
      </c>
      <c r="AS21" t="s">
        <v>83</v>
      </c>
      <c r="AT21">
        <v>2.42054945299139</v>
      </c>
      <c r="AU21" t="s">
        <v>83</v>
      </c>
      <c r="AV21" t="s">
        <v>83</v>
      </c>
      <c r="AW21" t="s">
        <v>83</v>
      </c>
      <c r="AX21" t="s">
        <v>83</v>
      </c>
      <c r="AY21" t="s">
        <v>83</v>
      </c>
      <c r="AZ21" s="1" t="s">
        <v>100</v>
      </c>
      <c r="BA21" t="s">
        <v>83</v>
      </c>
      <c r="BB21" t="s">
        <v>83</v>
      </c>
      <c r="BC21" t="s">
        <v>83</v>
      </c>
      <c r="BD21" t="s">
        <v>83</v>
      </c>
      <c r="BE21" t="s">
        <v>83</v>
      </c>
      <c r="BF21" t="s">
        <v>83</v>
      </c>
      <c r="BG21" t="s">
        <v>83</v>
      </c>
      <c r="BH21" t="s">
        <v>83</v>
      </c>
      <c r="BI21" t="s">
        <v>83</v>
      </c>
      <c r="BJ21">
        <v>3.1622776601683799E-4</v>
      </c>
      <c r="BK21" t="s">
        <v>83</v>
      </c>
      <c r="BL21" t="s">
        <v>83</v>
      </c>
      <c r="BM21">
        <v>1.58489319246111E-2</v>
      </c>
      <c r="BN21" t="s">
        <v>83</v>
      </c>
      <c r="BO21" t="s">
        <v>83</v>
      </c>
      <c r="BP21">
        <v>1.6177748944745898E-2</v>
      </c>
      <c r="BQ21">
        <v>-10.199999999999999</v>
      </c>
    </row>
    <row r="22" spans="1:69" x14ac:dyDescent="0.3">
      <c r="A22">
        <v>21021</v>
      </c>
      <c r="B22">
        <v>2020</v>
      </c>
      <c r="C22">
        <v>49</v>
      </c>
      <c r="D22">
        <v>910</v>
      </c>
      <c r="E22">
        <v>2</v>
      </c>
      <c r="F22" t="s">
        <v>117</v>
      </c>
      <c r="G22">
        <v>9</v>
      </c>
      <c r="H22">
        <v>4</v>
      </c>
      <c r="I22">
        <v>4</v>
      </c>
      <c r="J22">
        <v>4</v>
      </c>
      <c r="K22">
        <v>100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>
        <v>-2.7</v>
      </c>
      <c r="AE22" t="s">
        <v>83</v>
      </c>
      <c r="AF22" t="s">
        <v>83</v>
      </c>
      <c r="AG22" t="s">
        <v>83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1.5285784534320099</v>
      </c>
      <c r="AS22" t="s">
        <v>83</v>
      </c>
      <c r="AT22">
        <v>0.18726980390755099</v>
      </c>
      <c r="AU22" t="s">
        <v>83</v>
      </c>
      <c r="AV22" t="s">
        <v>83</v>
      </c>
      <c r="AW22" t="s">
        <v>83</v>
      </c>
      <c r="AX22" t="s">
        <v>83</v>
      </c>
      <c r="AY22" t="s">
        <v>83</v>
      </c>
      <c r="AZ22" t="s">
        <v>83</v>
      </c>
      <c r="BA22" t="s">
        <v>83</v>
      </c>
      <c r="BB22" t="s">
        <v>83</v>
      </c>
      <c r="BC22" t="s">
        <v>83</v>
      </c>
      <c r="BD22" t="s">
        <v>83</v>
      </c>
      <c r="BE22" t="s">
        <v>83</v>
      </c>
      <c r="BF22" t="s">
        <v>83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83</v>
      </c>
      <c r="BM22">
        <v>1.9952623149688798E-3</v>
      </c>
      <c r="BN22" t="s">
        <v>83</v>
      </c>
      <c r="BO22" t="s">
        <v>83</v>
      </c>
      <c r="BP22">
        <v>1.9952623149688798E-3</v>
      </c>
      <c r="BQ22">
        <v>-2.7</v>
      </c>
    </row>
    <row r="23" spans="1:69" x14ac:dyDescent="0.3">
      <c r="A23">
        <v>21022</v>
      </c>
      <c r="B23">
        <v>2020</v>
      </c>
      <c r="C23">
        <v>47</v>
      </c>
      <c r="D23">
        <v>911</v>
      </c>
      <c r="E23">
        <v>2</v>
      </c>
      <c r="F23" t="s">
        <v>118</v>
      </c>
      <c r="G23">
        <v>5</v>
      </c>
      <c r="H23">
        <v>3</v>
      </c>
      <c r="I23">
        <v>4</v>
      </c>
      <c r="J23">
        <v>4</v>
      </c>
      <c r="K23">
        <v>75</v>
      </c>
      <c r="L23" t="s">
        <v>83</v>
      </c>
      <c r="M23">
        <v>-3.9</v>
      </c>
      <c r="N23" t="s">
        <v>83</v>
      </c>
      <c r="O23" t="s">
        <v>83</v>
      </c>
      <c r="P23" t="s">
        <v>83</v>
      </c>
      <c r="Q23" t="s">
        <v>83</v>
      </c>
      <c r="R23">
        <v>-3.9</v>
      </c>
      <c r="S23">
        <v>-3</v>
      </c>
      <c r="T23" t="s">
        <v>83</v>
      </c>
      <c r="U23" t="s">
        <v>83</v>
      </c>
      <c r="V23">
        <v>-2.9</v>
      </c>
      <c r="W23" t="s">
        <v>83</v>
      </c>
      <c r="X23" t="s">
        <v>83</v>
      </c>
      <c r="Y23" t="s">
        <v>83</v>
      </c>
      <c r="Z23" t="s">
        <v>83</v>
      </c>
      <c r="AA23" t="s">
        <v>83</v>
      </c>
      <c r="AB23" t="s">
        <v>83</v>
      </c>
      <c r="AC23" t="s">
        <v>83</v>
      </c>
      <c r="AD23">
        <v>-0.5</v>
      </c>
      <c r="AE23" t="s">
        <v>83</v>
      </c>
      <c r="AF23" t="s">
        <v>83</v>
      </c>
      <c r="AG23" t="s">
        <v>83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3</v>
      </c>
      <c r="AQ23">
        <v>1</v>
      </c>
      <c r="AR23">
        <v>0.66100689878140895</v>
      </c>
      <c r="AS23" t="s">
        <v>83</v>
      </c>
      <c r="AT23">
        <v>-0.706042055725985</v>
      </c>
      <c r="AU23">
        <v>1.2589254117941699E-4</v>
      </c>
      <c r="AV23" t="s">
        <v>83</v>
      </c>
      <c r="AW23" t="s">
        <v>83</v>
      </c>
      <c r="AX23" t="s">
        <v>83</v>
      </c>
      <c r="AY23" t="s">
        <v>83</v>
      </c>
      <c r="AZ23">
        <v>1.2589254117941699E-4</v>
      </c>
      <c r="BA23">
        <v>1E-3</v>
      </c>
      <c r="BB23" t="s">
        <v>83</v>
      </c>
      <c r="BC23" t="s">
        <v>83</v>
      </c>
      <c r="BD23">
        <v>1.2589254117941701E-3</v>
      </c>
      <c r="BE23" t="s">
        <v>83</v>
      </c>
      <c r="BF23" t="s">
        <v>83</v>
      </c>
      <c r="BG23" t="s">
        <v>83</v>
      </c>
      <c r="BH23" t="s">
        <v>83</v>
      </c>
      <c r="BI23" t="s">
        <v>83</v>
      </c>
      <c r="BJ23" t="s">
        <v>83</v>
      </c>
      <c r="BK23" t="s">
        <v>83</v>
      </c>
      <c r="BL23" t="s">
        <v>83</v>
      </c>
      <c r="BM23">
        <v>0.316227766016838</v>
      </c>
      <c r="BN23" t="s">
        <v>83</v>
      </c>
      <c r="BO23" t="s">
        <v>83</v>
      </c>
      <c r="BP23">
        <v>0.31873847651099102</v>
      </c>
      <c r="BQ23">
        <v>-14.2</v>
      </c>
    </row>
    <row r="24" spans="1:69" x14ac:dyDescent="0.3">
      <c r="A24">
        <v>21023</v>
      </c>
      <c r="B24">
        <v>2020</v>
      </c>
      <c r="C24">
        <v>31</v>
      </c>
      <c r="D24">
        <v>952</v>
      </c>
      <c r="E24">
        <v>2</v>
      </c>
      <c r="F24" t="s">
        <v>119</v>
      </c>
      <c r="G24">
        <v>16</v>
      </c>
      <c r="H24">
        <v>3</v>
      </c>
      <c r="I24">
        <v>4</v>
      </c>
      <c r="J24">
        <v>5</v>
      </c>
      <c r="K24">
        <v>60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>
        <v>-5.0999999999999996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>
        <v>-2.1</v>
      </c>
      <c r="AE24" t="s">
        <v>83</v>
      </c>
      <c r="AF24" t="s">
        <v>83</v>
      </c>
      <c r="AG24" t="s">
        <v>83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2</v>
      </c>
      <c r="AQ24">
        <v>0</v>
      </c>
      <c r="AR24">
        <v>0.14046396599104899</v>
      </c>
      <c r="AS24" t="s">
        <v>83</v>
      </c>
      <c r="AT24">
        <v>1.7505655582662401</v>
      </c>
      <c r="AU24" t="s">
        <v>83</v>
      </c>
      <c r="AV24" t="s">
        <v>83</v>
      </c>
      <c r="AW24" t="s">
        <v>83</v>
      </c>
      <c r="AX24" t="s">
        <v>83</v>
      </c>
      <c r="AY24" t="s">
        <v>83</v>
      </c>
      <c r="AZ24" s="1" t="s">
        <v>120</v>
      </c>
      <c r="BA24" t="s">
        <v>83</v>
      </c>
      <c r="BB24" t="s">
        <v>83</v>
      </c>
      <c r="BC24" t="s">
        <v>83</v>
      </c>
      <c r="BD24" t="s">
        <v>83</v>
      </c>
      <c r="BE24" t="s">
        <v>83</v>
      </c>
      <c r="BF24" t="s">
        <v>83</v>
      </c>
      <c r="BG24" t="s">
        <v>83</v>
      </c>
      <c r="BH24" t="s">
        <v>83</v>
      </c>
      <c r="BI24" t="s">
        <v>83</v>
      </c>
      <c r="BJ24" t="s">
        <v>83</v>
      </c>
      <c r="BK24" t="s">
        <v>83</v>
      </c>
      <c r="BL24" t="s">
        <v>83</v>
      </c>
      <c r="BM24">
        <v>7.9432823472428103E-3</v>
      </c>
      <c r="BN24" t="s">
        <v>83</v>
      </c>
      <c r="BO24" t="s">
        <v>83</v>
      </c>
      <c r="BP24">
        <v>7.9512256295900599E-3</v>
      </c>
      <c r="BQ24">
        <v>-7.2</v>
      </c>
    </row>
    <row r="25" spans="1:69" x14ac:dyDescent="0.3">
      <c r="A25">
        <v>21024</v>
      </c>
      <c r="B25">
        <v>2020</v>
      </c>
      <c r="C25">
        <v>7</v>
      </c>
      <c r="D25">
        <v>973</v>
      </c>
      <c r="E25">
        <v>2</v>
      </c>
      <c r="F25" t="s">
        <v>121</v>
      </c>
      <c r="G25">
        <v>19</v>
      </c>
      <c r="H25">
        <v>3</v>
      </c>
      <c r="I25">
        <v>4</v>
      </c>
      <c r="J25">
        <v>5</v>
      </c>
      <c r="K25">
        <v>60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 t="s">
        <v>83</v>
      </c>
      <c r="AB25" t="s">
        <v>83</v>
      </c>
      <c r="AC25" t="s">
        <v>83</v>
      </c>
      <c r="AD25">
        <v>-0.4</v>
      </c>
      <c r="AE25" t="s">
        <v>83</v>
      </c>
      <c r="AF25" t="s">
        <v>83</v>
      </c>
      <c r="AG25" t="s">
        <v>83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0.14046396599104899</v>
      </c>
      <c r="AS25" t="s">
        <v>83</v>
      </c>
      <c r="AT25">
        <v>2.42054945299139</v>
      </c>
      <c r="AU25" t="s">
        <v>83</v>
      </c>
      <c r="AV25" t="s">
        <v>83</v>
      </c>
      <c r="AW25" t="s">
        <v>83</v>
      </c>
      <c r="AX25" t="s">
        <v>83</v>
      </c>
      <c r="AY25" t="s">
        <v>83</v>
      </c>
      <c r="AZ25" t="s">
        <v>83</v>
      </c>
      <c r="BA25" t="s">
        <v>83</v>
      </c>
      <c r="BB25" t="s">
        <v>83</v>
      </c>
      <c r="BC25" t="s">
        <v>83</v>
      </c>
      <c r="BD25" t="s">
        <v>83</v>
      </c>
      <c r="BE25" t="s">
        <v>83</v>
      </c>
      <c r="BF25" t="s">
        <v>83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83</v>
      </c>
      <c r="BM25">
        <v>0.39810717055349698</v>
      </c>
      <c r="BN25" t="s">
        <v>83</v>
      </c>
      <c r="BO25" t="s">
        <v>83</v>
      </c>
      <c r="BP25">
        <v>0.39810717055349698</v>
      </c>
      <c r="BQ25">
        <v>-0.4</v>
      </c>
    </row>
    <row r="26" spans="1:69" x14ac:dyDescent="0.3">
      <c r="A26">
        <v>21025</v>
      </c>
      <c r="B26">
        <v>2020</v>
      </c>
      <c r="C26">
        <v>13</v>
      </c>
      <c r="D26">
        <v>1901</v>
      </c>
      <c r="E26">
        <v>2</v>
      </c>
      <c r="F26" t="s">
        <v>122</v>
      </c>
      <c r="G26">
        <v>6</v>
      </c>
      <c r="H26">
        <v>3</v>
      </c>
      <c r="I26">
        <v>3</v>
      </c>
      <c r="J26">
        <v>3</v>
      </c>
      <c r="K26">
        <v>100</v>
      </c>
      <c r="L26" t="s">
        <v>83</v>
      </c>
      <c r="M26">
        <v>-2.9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83</v>
      </c>
      <c r="Y26" t="s">
        <v>83</v>
      </c>
      <c r="Z26" t="s">
        <v>83</v>
      </c>
      <c r="AA26" t="s">
        <v>83</v>
      </c>
      <c r="AB26" t="s">
        <v>83</v>
      </c>
      <c r="AC26" t="s">
        <v>83</v>
      </c>
      <c r="AD26">
        <v>0.5</v>
      </c>
      <c r="AE26" t="s">
        <v>83</v>
      </c>
      <c r="AF26" t="s">
        <v>83</v>
      </c>
      <c r="AG26" t="s">
        <v>83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2</v>
      </c>
      <c r="AQ26">
        <v>0</v>
      </c>
      <c r="AR26">
        <v>1.5285784534320099</v>
      </c>
      <c r="AS26" t="s">
        <v>83</v>
      </c>
      <c r="AT26">
        <v>-0.48271409081760103</v>
      </c>
      <c r="AU26">
        <v>1.2589254117941701E-3</v>
      </c>
      <c r="AV26" t="s">
        <v>83</v>
      </c>
      <c r="AW26" t="s">
        <v>83</v>
      </c>
      <c r="AX26" t="s">
        <v>83</v>
      </c>
      <c r="AY26" t="s">
        <v>83</v>
      </c>
      <c r="AZ26" t="s">
        <v>83</v>
      </c>
      <c r="BA26" t="s">
        <v>83</v>
      </c>
      <c r="BB26" t="s">
        <v>83</v>
      </c>
      <c r="BC26" t="s">
        <v>83</v>
      </c>
      <c r="BD26" t="s">
        <v>83</v>
      </c>
      <c r="BE26" t="s">
        <v>83</v>
      </c>
      <c r="BF26" t="s">
        <v>83</v>
      </c>
      <c r="BG26" t="s">
        <v>83</v>
      </c>
      <c r="BH26" t="s">
        <v>83</v>
      </c>
      <c r="BI26" t="s">
        <v>83</v>
      </c>
      <c r="BJ26" t="s">
        <v>83</v>
      </c>
      <c r="BK26" t="s">
        <v>83</v>
      </c>
      <c r="BL26" t="s">
        <v>83</v>
      </c>
      <c r="BM26">
        <v>3.16227766016838</v>
      </c>
      <c r="BN26" t="s">
        <v>83</v>
      </c>
      <c r="BO26" t="s">
        <v>83</v>
      </c>
      <c r="BP26">
        <v>3.1635365855801698</v>
      </c>
      <c r="BQ26">
        <v>-2.4</v>
      </c>
    </row>
    <row r="27" spans="1:69" x14ac:dyDescent="0.3">
      <c r="A27">
        <v>21026</v>
      </c>
      <c r="B27">
        <v>2020</v>
      </c>
      <c r="C27">
        <v>45</v>
      </c>
      <c r="D27">
        <v>1907</v>
      </c>
      <c r="E27">
        <v>2</v>
      </c>
      <c r="F27" t="s">
        <v>123</v>
      </c>
      <c r="G27">
        <v>5</v>
      </c>
      <c r="H27">
        <v>2</v>
      </c>
      <c r="I27">
        <v>2</v>
      </c>
      <c r="J27">
        <v>3</v>
      </c>
      <c r="K27">
        <v>67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>
        <v>-6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83</v>
      </c>
      <c r="AB27" t="s">
        <v>83</v>
      </c>
      <c r="AC27" t="s">
        <v>83</v>
      </c>
      <c r="AD27">
        <v>-2.6</v>
      </c>
      <c r="AE27" t="s">
        <v>83</v>
      </c>
      <c r="AF27" t="s">
        <v>83</v>
      </c>
      <c r="AG27" t="s">
        <v>83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2</v>
      </c>
      <c r="AQ27">
        <v>0</v>
      </c>
      <c r="AR27">
        <v>0.38338400129321698</v>
      </c>
      <c r="AS27" t="s">
        <v>83</v>
      </c>
      <c r="AT27">
        <v>-0.706042055725985</v>
      </c>
      <c r="AU27" t="s">
        <v>83</v>
      </c>
      <c r="AV27" t="s">
        <v>83</v>
      </c>
      <c r="AW27" t="s">
        <v>83</v>
      </c>
      <c r="AX27" t="s">
        <v>83</v>
      </c>
      <c r="AY27" t="s">
        <v>83</v>
      </c>
      <c r="AZ27" s="1" t="s">
        <v>124</v>
      </c>
      <c r="BA27" t="s">
        <v>83</v>
      </c>
      <c r="BB27" t="s">
        <v>83</v>
      </c>
      <c r="BC27" t="s">
        <v>83</v>
      </c>
      <c r="BD27" t="s">
        <v>83</v>
      </c>
      <c r="BE27" t="s">
        <v>83</v>
      </c>
      <c r="BF27" t="s">
        <v>83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83</v>
      </c>
      <c r="BM27">
        <v>2.5118864315095799E-3</v>
      </c>
      <c r="BN27" t="s">
        <v>83</v>
      </c>
      <c r="BO27" t="s">
        <v>83</v>
      </c>
      <c r="BP27">
        <v>2.51288643150958E-3</v>
      </c>
      <c r="BQ27">
        <v>-8.6</v>
      </c>
    </row>
    <row r="28" spans="1:69" x14ac:dyDescent="0.3">
      <c r="A28">
        <v>21027</v>
      </c>
      <c r="B28">
        <v>2020</v>
      </c>
      <c r="C28">
        <v>53</v>
      </c>
      <c r="D28">
        <v>1908</v>
      </c>
      <c r="E28">
        <v>2</v>
      </c>
      <c r="F28" t="s">
        <v>125</v>
      </c>
      <c r="G28">
        <v>6</v>
      </c>
      <c r="H28">
        <v>2</v>
      </c>
      <c r="I28">
        <v>3</v>
      </c>
      <c r="J28">
        <v>4</v>
      </c>
      <c r="K28">
        <v>50</v>
      </c>
      <c r="L28" t="s">
        <v>83</v>
      </c>
      <c r="M28">
        <v>-1.4</v>
      </c>
      <c r="N28" t="s">
        <v>83</v>
      </c>
      <c r="O28" t="s">
        <v>83</v>
      </c>
      <c r="P28" t="s">
        <v>83</v>
      </c>
      <c r="Q28" t="s">
        <v>83</v>
      </c>
      <c r="R28">
        <v>-1.4</v>
      </c>
      <c r="S28" t="s">
        <v>83</v>
      </c>
      <c r="T28" t="s">
        <v>83</v>
      </c>
      <c r="U28" t="s">
        <v>83</v>
      </c>
      <c r="V28" t="s">
        <v>83</v>
      </c>
      <c r="W28" t="s">
        <v>83</v>
      </c>
      <c r="X28" t="s">
        <v>83</v>
      </c>
      <c r="Y28" t="s">
        <v>83</v>
      </c>
      <c r="Z28" t="s">
        <v>83</v>
      </c>
      <c r="AA28" t="s">
        <v>83</v>
      </c>
      <c r="AB28" t="s">
        <v>83</v>
      </c>
      <c r="AC28" t="s">
        <v>83</v>
      </c>
      <c r="AD28" t="s">
        <v>83</v>
      </c>
      <c r="AE28" t="s">
        <v>83</v>
      </c>
      <c r="AF28" t="s">
        <v>83</v>
      </c>
      <c r="AG28" t="s">
        <v>83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-0.20656465586919001</v>
      </c>
      <c r="AS28" t="s">
        <v>83</v>
      </c>
      <c r="AT28">
        <v>-0.48271409081760103</v>
      </c>
      <c r="AU28">
        <v>3.9810717055349699E-2</v>
      </c>
      <c r="AV28" t="s">
        <v>83</v>
      </c>
      <c r="AW28" t="s">
        <v>83</v>
      </c>
      <c r="AX28" t="s">
        <v>83</v>
      </c>
      <c r="AY28" t="s">
        <v>83</v>
      </c>
      <c r="AZ28">
        <v>3.9810717055349699E-2</v>
      </c>
      <c r="BA28" t="s">
        <v>83</v>
      </c>
      <c r="BB28" t="s">
        <v>83</v>
      </c>
      <c r="BC28" t="s">
        <v>83</v>
      </c>
      <c r="BD28" t="s">
        <v>83</v>
      </c>
      <c r="BE28" t="s">
        <v>83</v>
      </c>
      <c r="BF28" t="s">
        <v>83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83</v>
      </c>
      <c r="BM28" t="s">
        <v>83</v>
      </c>
      <c r="BN28" t="s">
        <v>83</v>
      </c>
      <c r="BO28" t="s">
        <v>83</v>
      </c>
      <c r="BP28">
        <v>7.9621434110699496E-2</v>
      </c>
      <c r="BQ28">
        <v>-2.8</v>
      </c>
    </row>
    <row r="29" spans="1:69" x14ac:dyDescent="0.3">
      <c r="A29">
        <v>21028</v>
      </c>
      <c r="B29">
        <v>2020</v>
      </c>
      <c r="C29">
        <v>61</v>
      </c>
      <c r="D29">
        <v>2018</v>
      </c>
      <c r="E29">
        <v>1</v>
      </c>
      <c r="F29" t="s">
        <v>126</v>
      </c>
      <c r="G29">
        <v>3</v>
      </c>
      <c r="H29">
        <v>0</v>
      </c>
      <c r="I29">
        <v>0</v>
      </c>
      <c r="J29">
        <v>3</v>
      </c>
      <c r="K29">
        <v>0</v>
      </c>
      <c r="L29" t="s">
        <v>83</v>
      </c>
      <c r="M29">
        <v>-5.0999999999999996</v>
      </c>
      <c r="N29" t="s">
        <v>83</v>
      </c>
      <c r="O29" t="s">
        <v>83</v>
      </c>
      <c r="P29" t="s">
        <v>83</v>
      </c>
      <c r="Q29" t="s">
        <v>83</v>
      </c>
      <c r="R29">
        <v>-5.3</v>
      </c>
      <c r="S29">
        <v>-4.9000000000000004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>
        <v>-2</v>
      </c>
      <c r="AE29" t="s">
        <v>83</v>
      </c>
      <c r="AF29" t="s">
        <v>83</v>
      </c>
      <c r="AG29" t="s">
        <v>83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2</v>
      </c>
      <c r="AQ29">
        <v>0</v>
      </c>
      <c r="AR29">
        <v>-1.94170776517039</v>
      </c>
      <c r="AS29" t="s">
        <v>83</v>
      </c>
      <c r="AT29">
        <v>-1.1526979855427499</v>
      </c>
      <c r="AU29" s="1" t="s">
        <v>120</v>
      </c>
      <c r="AV29" t="s">
        <v>83</v>
      </c>
      <c r="AW29" t="s">
        <v>83</v>
      </c>
      <c r="AX29" t="s">
        <v>83</v>
      </c>
      <c r="AY29" t="s">
        <v>83</v>
      </c>
      <c r="AZ29" s="1" t="s">
        <v>114</v>
      </c>
      <c r="BA29" s="1" t="s">
        <v>100</v>
      </c>
      <c r="BB29" t="s">
        <v>83</v>
      </c>
      <c r="BC29" t="s">
        <v>83</v>
      </c>
      <c r="BD29" t="s">
        <v>83</v>
      </c>
      <c r="BE29" t="s">
        <v>83</v>
      </c>
      <c r="BF29" t="s">
        <v>83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83</v>
      </c>
      <c r="BM29">
        <v>0.01</v>
      </c>
      <c r="BN29" t="s">
        <v>83</v>
      </c>
      <c r="BO29" t="s">
        <v>83</v>
      </c>
      <c r="BP29">
        <v>1.00255444088015E-2</v>
      </c>
      <c r="BQ29">
        <v>-17.3</v>
      </c>
    </row>
    <row r="30" spans="1:69" x14ac:dyDescent="0.3">
      <c r="A30">
        <v>21029</v>
      </c>
      <c r="B30">
        <v>2020</v>
      </c>
      <c r="C30">
        <v>5</v>
      </c>
      <c r="D30" t="s">
        <v>127</v>
      </c>
      <c r="E30">
        <v>2</v>
      </c>
      <c r="F30" t="s">
        <v>128</v>
      </c>
      <c r="G30">
        <v>6</v>
      </c>
      <c r="H30">
        <v>4</v>
      </c>
      <c r="I30">
        <v>4</v>
      </c>
      <c r="J30">
        <v>4</v>
      </c>
      <c r="K30">
        <v>100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>
        <v>-5.8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83</v>
      </c>
      <c r="Y30" t="s">
        <v>83</v>
      </c>
      <c r="Z30" t="s">
        <v>83</v>
      </c>
      <c r="AA30" t="s">
        <v>83</v>
      </c>
      <c r="AB30" t="s">
        <v>83</v>
      </c>
      <c r="AC30" t="s">
        <v>83</v>
      </c>
      <c r="AD30">
        <v>-2.2000000000000002</v>
      </c>
      <c r="AE30" t="s">
        <v>83</v>
      </c>
      <c r="AF30" t="s">
        <v>83</v>
      </c>
      <c r="AG30" t="s">
        <v>83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2</v>
      </c>
      <c r="AQ30">
        <v>0</v>
      </c>
      <c r="AR30">
        <v>1.5285784534320099</v>
      </c>
      <c r="AS30" t="s">
        <v>83</v>
      </c>
      <c r="AT30">
        <v>-0.48271409081760103</v>
      </c>
      <c r="AU30" t="s">
        <v>83</v>
      </c>
      <c r="AV30" t="s">
        <v>83</v>
      </c>
      <c r="AW30" t="s">
        <v>83</v>
      </c>
      <c r="AX30" t="s">
        <v>83</v>
      </c>
      <c r="AY30" t="s">
        <v>83</v>
      </c>
      <c r="AZ30" s="1" t="s">
        <v>129</v>
      </c>
      <c r="BA30" t="s">
        <v>83</v>
      </c>
      <c r="BB30" t="s">
        <v>83</v>
      </c>
      <c r="BC30" t="s">
        <v>83</v>
      </c>
      <c r="BD30" t="s">
        <v>83</v>
      </c>
      <c r="BE30" t="s">
        <v>83</v>
      </c>
      <c r="BF30" t="s">
        <v>83</v>
      </c>
      <c r="BG30" t="s">
        <v>83</v>
      </c>
      <c r="BH30" t="s">
        <v>83</v>
      </c>
      <c r="BI30" t="s">
        <v>83</v>
      </c>
      <c r="BJ30" t="s">
        <v>83</v>
      </c>
      <c r="BK30" t="s">
        <v>83</v>
      </c>
      <c r="BL30" t="s">
        <v>83</v>
      </c>
      <c r="BM30">
        <v>6.3095734448019303E-3</v>
      </c>
      <c r="BN30" t="s">
        <v>83</v>
      </c>
      <c r="BO30" t="s">
        <v>83</v>
      </c>
      <c r="BP30">
        <v>6.3111583379943902E-3</v>
      </c>
      <c r="BQ30">
        <v>-8</v>
      </c>
    </row>
    <row r="31" spans="1:69" x14ac:dyDescent="0.3">
      <c r="A31">
        <v>21030</v>
      </c>
      <c r="B31">
        <v>2020</v>
      </c>
      <c r="C31">
        <v>11</v>
      </c>
      <c r="D31" t="s">
        <v>130</v>
      </c>
      <c r="E31">
        <v>1</v>
      </c>
      <c r="F31" t="s">
        <v>131</v>
      </c>
      <c r="G31">
        <v>12</v>
      </c>
      <c r="H31">
        <v>3</v>
      </c>
      <c r="I31">
        <v>3</v>
      </c>
      <c r="J31">
        <v>5</v>
      </c>
      <c r="K31">
        <v>60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>
        <v>-5.5</v>
      </c>
      <c r="S31" t="s">
        <v>83</v>
      </c>
      <c r="T31" t="s">
        <v>83</v>
      </c>
      <c r="U31" t="s">
        <v>83</v>
      </c>
      <c r="V31" t="s">
        <v>83</v>
      </c>
      <c r="W31" t="s">
        <v>83</v>
      </c>
      <c r="X31" t="s">
        <v>83</v>
      </c>
      <c r="Y31" t="s">
        <v>83</v>
      </c>
      <c r="Z31" t="s">
        <v>83</v>
      </c>
      <c r="AA31" t="s">
        <v>83</v>
      </c>
      <c r="AB31" t="s">
        <v>83</v>
      </c>
      <c r="AC31" t="s">
        <v>83</v>
      </c>
      <c r="AD31">
        <v>-3.1</v>
      </c>
      <c r="AE31" t="s">
        <v>83</v>
      </c>
      <c r="AF31" t="s">
        <v>83</v>
      </c>
      <c r="AG31" t="s">
        <v>83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2</v>
      </c>
      <c r="AQ31">
        <v>0</v>
      </c>
      <c r="AR31">
        <v>0.14046396599104899</v>
      </c>
      <c r="AS31" t="s">
        <v>83</v>
      </c>
      <c r="AT31">
        <v>0.85725369863270295</v>
      </c>
      <c r="AU31" t="s">
        <v>83</v>
      </c>
      <c r="AV31" t="s">
        <v>83</v>
      </c>
      <c r="AW31" t="s">
        <v>83</v>
      </c>
      <c r="AX31" t="s">
        <v>83</v>
      </c>
      <c r="AY31" t="s">
        <v>83</v>
      </c>
      <c r="AZ31" s="1" t="s">
        <v>132</v>
      </c>
      <c r="BA31" t="s">
        <v>83</v>
      </c>
      <c r="BB31" t="s">
        <v>83</v>
      </c>
      <c r="BC31" t="s">
        <v>83</v>
      </c>
      <c r="BD31" t="s">
        <v>83</v>
      </c>
      <c r="BE31" t="s">
        <v>83</v>
      </c>
      <c r="BF31" t="s">
        <v>83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83</v>
      </c>
      <c r="BM31">
        <v>7.9432823472428099E-4</v>
      </c>
      <c r="BN31" t="s">
        <v>83</v>
      </c>
      <c r="BO31" t="s">
        <v>83</v>
      </c>
      <c r="BP31">
        <v>7.9749051238444996E-4</v>
      </c>
      <c r="BQ31">
        <v>-8.6</v>
      </c>
    </row>
    <row r="32" spans="1:69" x14ac:dyDescent="0.3">
      <c r="A32">
        <v>21031</v>
      </c>
      <c r="B32">
        <v>2020</v>
      </c>
      <c r="C32">
        <v>59</v>
      </c>
      <c r="D32" t="s">
        <v>133</v>
      </c>
      <c r="E32">
        <v>1</v>
      </c>
      <c r="F32" t="s">
        <v>134</v>
      </c>
      <c r="G32">
        <v>6</v>
      </c>
      <c r="H32">
        <v>0</v>
      </c>
      <c r="I32">
        <v>0</v>
      </c>
      <c r="J32">
        <v>0</v>
      </c>
      <c r="K32">
        <v>0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>
        <v>-4.8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83</v>
      </c>
      <c r="AB32" t="s">
        <v>83</v>
      </c>
      <c r="AC32" t="s">
        <v>83</v>
      </c>
      <c r="AD32">
        <v>-1.6</v>
      </c>
      <c r="AE32" t="s">
        <v>83</v>
      </c>
      <c r="AF32" t="s">
        <v>83</v>
      </c>
      <c r="AG32" t="s">
        <v>83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2</v>
      </c>
      <c r="AQ32">
        <v>0</v>
      </c>
      <c r="AR32">
        <v>-1.94170776517039</v>
      </c>
      <c r="AS32" t="s">
        <v>83</v>
      </c>
      <c r="AT32">
        <v>-0.48271409081760103</v>
      </c>
      <c r="AU32" t="s">
        <v>83</v>
      </c>
      <c r="AV32" t="s">
        <v>83</v>
      </c>
      <c r="AW32" t="s">
        <v>83</v>
      </c>
      <c r="AX32" t="s">
        <v>83</v>
      </c>
      <c r="AY32" t="s">
        <v>83</v>
      </c>
      <c r="AZ32" s="1" t="s">
        <v>108</v>
      </c>
      <c r="BA32" t="s">
        <v>83</v>
      </c>
      <c r="BB32" t="s">
        <v>83</v>
      </c>
      <c r="BC32" t="s">
        <v>83</v>
      </c>
      <c r="BD32" t="s">
        <v>83</v>
      </c>
      <c r="BE32" t="s">
        <v>83</v>
      </c>
      <c r="BF32" t="s">
        <v>83</v>
      </c>
      <c r="BG32" t="s">
        <v>83</v>
      </c>
      <c r="BH32" t="s">
        <v>83</v>
      </c>
      <c r="BI32" t="s">
        <v>83</v>
      </c>
      <c r="BJ32" t="s">
        <v>83</v>
      </c>
      <c r="BK32" t="s">
        <v>83</v>
      </c>
      <c r="BL32" t="s">
        <v>83</v>
      </c>
      <c r="BM32">
        <v>2.5118864315095801E-2</v>
      </c>
      <c r="BN32" t="s">
        <v>83</v>
      </c>
      <c r="BO32" t="s">
        <v>83</v>
      </c>
      <c r="BP32">
        <v>2.51347132470204E-2</v>
      </c>
      <c r="BQ32">
        <v>-6.4</v>
      </c>
    </row>
    <row r="33" spans="1:69" x14ac:dyDescent="0.3">
      <c r="A33">
        <v>21032</v>
      </c>
      <c r="B33">
        <v>2020</v>
      </c>
      <c r="C33">
        <v>69</v>
      </c>
      <c r="D33">
        <v>10</v>
      </c>
      <c r="E33">
        <v>3</v>
      </c>
      <c r="F33" t="s">
        <v>84</v>
      </c>
      <c r="G33">
        <v>9</v>
      </c>
      <c r="H33">
        <v>3</v>
      </c>
      <c r="I33">
        <v>3</v>
      </c>
      <c r="J33">
        <v>3</v>
      </c>
      <c r="K33">
        <v>100</v>
      </c>
      <c r="L33" t="s">
        <v>83</v>
      </c>
      <c r="M33">
        <v>-3.7</v>
      </c>
      <c r="N33" t="s">
        <v>83</v>
      </c>
      <c r="O33" t="s">
        <v>83</v>
      </c>
      <c r="P33" t="s">
        <v>83</v>
      </c>
      <c r="Q33" t="s">
        <v>83</v>
      </c>
      <c r="R33">
        <v>-4.0999999999999996</v>
      </c>
      <c r="S33" t="s">
        <v>83</v>
      </c>
      <c r="T33" t="s">
        <v>83</v>
      </c>
      <c r="U33" t="s">
        <v>83</v>
      </c>
      <c r="V33">
        <v>-3.4</v>
      </c>
      <c r="W33" t="s">
        <v>83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>
        <v>-0.7</v>
      </c>
      <c r="AE33" t="s">
        <v>83</v>
      </c>
      <c r="AF33" t="s">
        <v>83</v>
      </c>
      <c r="AG33" t="s">
        <v>83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3</v>
      </c>
      <c r="AQ33">
        <v>1</v>
      </c>
      <c r="AR33">
        <v>1.5285784534320099</v>
      </c>
      <c r="AS33" t="s">
        <v>83</v>
      </c>
      <c r="AT33">
        <v>0.18726980390755099</v>
      </c>
      <c r="AU33">
        <v>1.9952623149688801E-4</v>
      </c>
      <c r="AV33" t="s">
        <v>83</v>
      </c>
      <c r="AW33" t="s">
        <v>83</v>
      </c>
      <c r="AX33" t="s">
        <v>83</v>
      </c>
      <c r="AY33" t="s">
        <v>83</v>
      </c>
      <c r="AZ33" s="1" t="s">
        <v>87</v>
      </c>
      <c r="BA33" t="s">
        <v>83</v>
      </c>
      <c r="BB33" t="s">
        <v>83</v>
      </c>
      <c r="BC33" t="s">
        <v>83</v>
      </c>
      <c r="BD33">
        <v>3.9810717055349703E-4</v>
      </c>
      <c r="BE33" t="s">
        <v>83</v>
      </c>
      <c r="BF33" t="s">
        <v>83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83</v>
      </c>
      <c r="BM33">
        <v>0.199526231496888</v>
      </c>
      <c r="BN33" t="s">
        <v>83</v>
      </c>
      <c r="BO33" t="s">
        <v>83</v>
      </c>
      <c r="BP33">
        <v>0.20020329772241099</v>
      </c>
      <c r="BQ33">
        <v>-11.9</v>
      </c>
    </row>
    <row r="34" spans="1:69" x14ac:dyDescent="0.3">
      <c r="A34">
        <v>21033</v>
      </c>
      <c r="B34">
        <v>2020</v>
      </c>
      <c r="C34">
        <v>105</v>
      </c>
      <c r="D34">
        <v>12</v>
      </c>
      <c r="E34">
        <v>2</v>
      </c>
      <c r="F34" t="s">
        <v>85</v>
      </c>
      <c r="G34" t="s">
        <v>83</v>
      </c>
      <c r="H34">
        <v>2</v>
      </c>
      <c r="I34">
        <v>2</v>
      </c>
      <c r="J34">
        <v>5</v>
      </c>
      <c r="K34">
        <v>40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>
        <v>-5.2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>
        <v>-4.8</v>
      </c>
      <c r="Y34" t="s">
        <v>83</v>
      </c>
      <c r="Z34" t="s">
        <v>83</v>
      </c>
      <c r="AA34" t="s">
        <v>83</v>
      </c>
      <c r="AB34" t="s">
        <v>83</v>
      </c>
      <c r="AC34" t="s">
        <v>83</v>
      </c>
      <c r="AD34">
        <v>-1.4</v>
      </c>
      <c r="AE34" t="s">
        <v>83</v>
      </c>
      <c r="AF34" t="s">
        <v>83</v>
      </c>
      <c r="AG34" t="s">
        <v>83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3</v>
      </c>
      <c r="AQ34">
        <v>1</v>
      </c>
      <c r="AR34">
        <v>-0.55359327772942901</v>
      </c>
      <c r="AS34" t="s">
        <v>83</v>
      </c>
      <c r="AT34" t="s">
        <v>83</v>
      </c>
      <c r="AU34" t="s">
        <v>83</v>
      </c>
      <c r="AV34" t="s">
        <v>83</v>
      </c>
      <c r="AW34" t="s">
        <v>83</v>
      </c>
      <c r="AX34" t="s">
        <v>83</v>
      </c>
      <c r="AY34" t="s">
        <v>83</v>
      </c>
      <c r="AZ34" s="1" t="s">
        <v>86</v>
      </c>
      <c r="BA34" t="s">
        <v>83</v>
      </c>
      <c r="BB34" t="s">
        <v>83</v>
      </c>
      <c r="BC34" t="s">
        <v>83</v>
      </c>
      <c r="BD34" t="s">
        <v>83</v>
      </c>
      <c r="BE34" t="s">
        <v>83</v>
      </c>
      <c r="BF34" s="1" t="s">
        <v>108</v>
      </c>
      <c r="BG34" t="s">
        <v>83</v>
      </c>
      <c r="BH34" t="s">
        <v>83</v>
      </c>
      <c r="BI34" t="s">
        <v>83</v>
      </c>
      <c r="BJ34" t="s">
        <v>83</v>
      </c>
      <c r="BK34" t="s">
        <v>83</v>
      </c>
      <c r="BL34" t="s">
        <v>83</v>
      </c>
      <c r="BM34">
        <v>3.9810717055349699E-2</v>
      </c>
      <c r="BN34" t="s">
        <v>83</v>
      </c>
      <c r="BO34" t="s">
        <v>83</v>
      </c>
      <c r="BP34">
        <v>3.98328755607191E-2</v>
      </c>
      <c r="BQ34">
        <v>-11.4</v>
      </c>
    </row>
    <row r="35" spans="1:69" x14ac:dyDescent="0.3">
      <c r="A35">
        <v>21034</v>
      </c>
      <c r="B35">
        <v>2020</v>
      </c>
      <c r="C35">
        <v>87</v>
      </c>
      <c r="D35">
        <v>34</v>
      </c>
      <c r="E35">
        <v>1</v>
      </c>
      <c r="F35" t="s">
        <v>90</v>
      </c>
      <c r="G35">
        <v>10</v>
      </c>
      <c r="H35">
        <v>0</v>
      </c>
      <c r="I35">
        <v>5</v>
      </c>
      <c r="J35">
        <v>5</v>
      </c>
      <c r="K35">
        <v>0</v>
      </c>
      <c r="L35" t="s">
        <v>83</v>
      </c>
      <c r="M35">
        <v>-4.8</v>
      </c>
      <c r="N35" t="s">
        <v>83</v>
      </c>
      <c r="O35">
        <v>-4.5999999999999996</v>
      </c>
      <c r="P35" t="s">
        <v>83</v>
      </c>
      <c r="Q35" t="s">
        <v>83</v>
      </c>
      <c r="R35">
        <v>-4.9000000000000004</v>
      </c>
      <c r="S35" t="s">
        <v>83</v>
      </c>
      <c r="T35">
        <v>-4.7</v>
      </c>
      <c r="U35" t="s">
        <v>83</v>
      </c>
      <c r="V35">
        <v>-4.8</v>
      </c>
      <c r="W35" t="s">
        <v>83</v>
      </c>
      <c r="X35">
        <v>-4.5</v>
      </c>
      <c r="Y35" t="s">
        <v>83</v>
      </c>
      <c r="Z35" t="s">
        <v>83</v>
      </c>
      <c r="AA35">
        <v>-4.2</v>
      </c>
      <c r="AB35">
        <v>-4.8</v>
      </c>
      <c r="AC35" t="s">
        <v>83</v>
      </c>
      <c r="AD35">
        <v>-1.1000000000000001</v>
      </c>
      <c r="AE35">
        <v>-3.6</v>
      </c>
      <c r="AF35" t="s">
        <v>83</v>
      </c>
      <c r="AG35" t="s">
        <v>83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6</v>
      </c>
      <c r="AQ35">
        <v>1</v>
      </c>
      <c r="AR35">
        <v>-1.94170776517039</v>
      </c>
      <c r="AS35" t="s">
        <v>83</v>
      </c>
      <c r="AT35">
        <v>0.41059776881593502</v>
      </c>
      <c r="AU35" s="1" t="s">
        <v>108</v>
      </c>
      <c r="AV35" t="s">
        <v>83</v>
      </c>
      <c r="AW35" s="1" t="s">
        <v>109</v>
      </c>
      <c r="AX35" t="s">
        <v>83</v>
      </c>
      <c r="AY35" t="s">
        <v>83</v>
      </c>
      <c r="AZ35" s="1" t="s">
        <v>100</v>
      </c>
      <c r="BA35" t="s">
        <v>83</v>
      </c>
      <c r="BB35" s="1" t="s">
        <v>135</v>
      </c>
      <c r="BC35" t="s">
        <v>83</v>
      </c>
      <c r="BD35" s="1" t="s">
        <v>108</v>
      </c>
      <c r="BE35" t="s">
        <v>83</v>
      </c>
      <c r="BF35" s="1" t="s">
        <v>92</v>
      </c>
      <c r="BG35" t="s">
        <v>83</v>
      </c>
      <c r="BH35" t="s">
        <v>83</v>
      </c>
      <c r="BI35" s="1" t="s">
        <v>89</v>
      </c>
      <c r="BJ35" s="1" t="s">
        <v>108</v>
      </c>
      <c r="BK35" t="s">
        <v>83</v>
      </c>
      <c r="BL35">
        <v>2.5118864315095801E-4</v>
      </c>
      <c r="BM35">
        <v>7.9432823472428096E-2</v>
      </c>
      <c r="BN35" t="s">
        <v>83</v>
      </c>
      <c r="BO35" t="s">
        <v>83</v>
      </c>
      <c r="BP35">
        <v>7.9883938163985396E-2</v>
      </c>
      <c r="BQ35">
        <v>-42</v>
      </c>
    </row>
    <row r="36" spans="1:69" x14ac:dyDescent="0.3">
      <c r="A36">
        <v>21035</v>
      </c>
      <c r="B36">
        <v>2020</v>
      </c>
      <c r="C36">
        <v>85</v>
      </c>
      <c r="D36">
        <v>35</v>
      </c>
      <c r="E36">
        <v>3</v>
      </c>
      <c r="F36" t="s">
        <v>93</v>
      </c>
      <c r="G36">
        <v>5</v>
      </c>
      <c r="H36">
        <v>2</v>
      </c>
      <c r="I36">
        <v>2</v>
      </c>
      <c r="J36">
        <v>3</v>
      </c>
      <c r="K36">
        <v>67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>
        <v>-6.3</v>
      </c>
      <c r="S36" t="s">
        <v>83</v>
      </c>
      <c r="T36" t="s">
        <v>83</v>
      </c>
      <c r="U36" t="s">
        <v>83</v>
      </c>
      <c r="V36">
        <v>-5.2</v>
      </c>
      <c r="W36" t="s">
        <v>83</v>
      </c>
      <c r="X36" t="s">
        <v>83</v>
      </c>
      <c r="Y36" t="s">
        <v>83</v>
      </c>
      <c r="Z36" t="s">
        <v>83</v>
      </c>
      <c r="AA36" t="s">
        <v>83</v>
      </c>
      <c r="AB36" t="s">
        <v>83</v>
      </c>
      <c r="AC36" t="s">
        <v>83</v>
      </c>
      <c r="AD36">
        <v>-2.4</v>
      </c>
      <c r="AE36" t="s">
        <v>83</v>
      </c>
      <c r="AF36" t="s">
        <v>83</v>
      </c>
      <c r="AG36" t="s">
        <v>83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3</v>
      </c>
      <c r="AQ36">
        <v>1</v>
      </c>
      <c r="AR36">
        <v>0.38338400129321698</v>
      </c>
      <c r="AS36" t="s">
        <v>83</v>
      </c>
      <c r="AT36">
        <v>-0.706042055725985</v>
      </c>
      <c r="AU36" t="s">
        <v>83</v>
      </c>
      <c r="AV36" t="s">
        <v>83</v>
      </c>
      <c r="AW36" t="s">
        <v>83</v>
      </c>
      <c r="AX36" t="s">
        <v>83</v>
      </c>
      <c r="AY36" t="s">
        <v>83</v>
      </c>
      <c r="AZ36" s="1" t="s">
        <v>136</v>
      </c>
      <c r="BA36" t="s">
        <v>83</v>
      </c>
      <c r="BB36" t="s">
        <v>83</v>
      </c>
      <c r="BC36" t="s">
        <v>83</v>
      </c>
      <c r="BD36" s="1" t="s">
        <v>86</v>
      </c>
      <c r="BE36" t="s">
        <v>83</v>
      </c>
      <c r="BF36" t="s">
        <v>83</v>
      </c>
      <c r="BG36" t="s">
        <v>83</v>
      </c>
      <c r="BH36" t="s">
        <v>83</v>
      </c>
      <c r="BI36" t="s">
        <v>83</v>
      </c>
      <c r="BJ36" t="s">
        <v>83</v>
      </c>
      <c r="BK36" t="s">
        <v>83</v>
      </c>
      <c r="BL36" t="s">
        <v>83</v>
      </c>
      <c r="BM36">
        <v>3.9810717055349699E-3</v>
      </c>
      <c r="BN36" t="s">
        <v>83</v>
      </c>
      <c r="BO36" t="s">
        <v>83</v>
      </c>
      <c r="BP36">
        <v>3.9878824662134002E-3</v>
      </c>
      <c r="BQ36">
        <v>-13.9</v>
      </c>
    </row>
    <row r="37" spans="1:69" x14ac:dyDescent="0.3">
      <c r="A37">
        <v>21036</v>
      </c>
      <c r="B37">
        <v>2020</v>
      </c>
      <c r="C37">
        <v>115</v>
      </c>
      <c r="D37">
        <v>40</v>
      </c>
      <c r="E37">
        <v>3</v>
      </c>
      <c r="F37" t="s">
        <v>94</v>
      </c>
      <c r="G37" t="s">
        <v>83</v>
      </c>
      <c r="H37">
        <v>2</v>
      </c>
      <c r="I37">
        <v>4</v>
      </c>
      <c r="J37">
        <v>5</v>
      </c>
      <c r="K37">
        <v>40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>
        <v>-4</v>
      </c>
      <c r="S37" t="s">
        <v>83</v>
      </c>
      <c r="T37" t="s">
        <v>83</v>
      </c>
      <c r="U37">
        <v>-2.2999999999999998</v>
      </c>
      <c r="V37" t="s">
        <v>83</v>
      </c>
      <c r="W37" t="s">
        <v>83</v>
      </c>
      <c r="X37" t="s">
        <v>83</v>
      </c>
      <c r="Y37" t="s">
        <v>83</v>
      </c>
      <c r="Z37" t="s">
        <v>83</v>
      </c>
      <c r="AA37" t="s">
        <v>83</v>
      </c>
      <c r="AB37" t="s">
        <v>83</v>
      </c>
      <c r="AC37" t="s">
        <v>83</v>
      </c>
      <c r="AD37">
        <v>-1.2</v>
      </c>
      <c r="AE37" t="s">
        <v>83</v>
      </c>
      <c r="AF37" t="s">
        <v>83</v>
      </c>
      <c r="AG37" t="s">
        <v>83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3</v>
      </c>
      <c r="AQ37">
        <v>1</v>
      </c>
      <c r="AR37">
        <v>-0.55359327772942901</v>
      </c>
      <c r="AS37" t="s">
        <v>83</v>
      </c>
      <c r="AT37" t="s">
        <v>83</v>
      </c>
      <c r="AU37" t="s">
        <v>83</v>
      </c>
      <c r="AV37" t="s">
        <v>83</v>
      </c>
      <c r="AW37" t="s">
        <v>83</v>
      </c>
      <c r="AX37" t="s">
        <v>83</v>
      </c>
      <c r="AY37" t="s">
        <v>83</v>
      </c>
      <c r="AZ37" s="1" t="s">
        <v>103</v>
      </c>
      <c r="BA37" t="s">
        <v>83</v>
      </c>
      <c r="BB37" t="s">
        <v>83</v>
      </c>
      <c r="BC37">
        <v>5.0118723362727203E-3</v>
      </c>
      <c r="BD37" t="s">
        <v>83</v>
      </c>
      <c r="BE37" t="s">
        <v>83</v>
      </c>
      <c r="BF37" t="s">
        <v>83</v>
      </c>
      <c r="BG37" t="s">
        <v>83</v>
      </c>
      <c r="BH37" t="s">
        <v>83</v>
      </c>
      <c r="BI37" t="s">
        <v>83</v>
      </c>
      <c r="BJ37" t="s">
        <v>83</v>
      </c>
      <c r="BK37" t="s">
        <v>83</v>
      </c>
      <c r="BL37" t="s">
        <v>83</v>
      </c>
      <c r="BM37">
        <v>6.3095734448019303E-2</v>
      </c>
      <c r="BN37" t="s">
        <v>83</v>
      </c>
      <c r="BO37" t="s">
        <v>83</v>
      </c>
      <c r="BP37">
        <v>6.8207606784292094E-2</v>
      </c>
      <c r="BQ37">
        <v>-7.5</v>
      </c>
    </row>
    <row r="38" spans="1:69" x14ac:dyDescent="0.3">
      <c r="A38">
        <v>21037</v>
      </c>
      <c r="B38">
        <v>2020</v>
      </c>
      <c r="C38">
        <v>97</v>
      </c>
      <c r="D38">
        <v>109</v>
      </c>
      <c r="E38">
        <v>3</v>
      </c>
      <c r="F38" t="s">
        <v>95</v>
      </c>
      <c r="G38">
        <v>5</v>
      </c>
      <c r="H38">
        <v>3</v>
      </c>
      <c r="I38">
        <v>4</v>
      </c>
      <c r="J38">
        <v>5</v>
      </c>
      <c r="K38">
        <v>60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>
        <v>-5.7</v>
      </c>
      <c r="S38" t="s">
        <v>83</v>
      </c>
      <c r="T38" t="s">
        <v>83</v>
      </c>
      <c r="U38">
        <v>-3.9</v>
      </c>
      <c r="V38" t="s">
        <v>83</v>
      </c>
      <c r="W38">
        <v>-5.4</v>
      </c>
      <c r="X38" t="s">
        <v>83</v>
      </c>
      <c r="Y38" t="s">
        <v>83</v>
      </c>
      <c r="Z38" t="s">
        <v>83</v>
      </c>
      <c r="AA38" t="s">
        <v>83</v>
      </c>
      <c r="AB38" t="s">
        <v>83</v>
      </c>
      <c r="AC38">
        <v>-5.0999999999999996</v>
      </c>
      <c r="AD38">
        <v>-3.4</v>
      </c>
      <c r="AE38">
        <v>-4.4000000000000004</v>
      </c>
      <c r="AF38" t="s">
        <v>83</v>
      </c>
      <c r="AG38" t="s">
        <v>83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5</v>
      </c>
      <c r="AQ38">
        <v>1</v>
      </c>
      <c r="AR38">
        <v>0.14046396599104899</v>
      </c>
      <c r="AS38" t="s">
        <v>83</v>
      </c>
      <c r="AT38">
        <v>-0.706042055725985</v>
      </c>
      <c r="AU38" t="s">
        <v>83</v>
      </c>
      <c r="AV38" t="s">
        <v>83</v>
      </c>
      <c r="AW38" t="s">
        <v>83</v>
      </c>
      <c r="AX38" t="s">
        <v>83</v>
      </c>
      <c r="AY38" t="s">
        <v>83</v>
      </c>
      <c r="AZ38" s="1" t="s">
        <v>91</v>
      </c>
      <c r="BA38" t="s">
        <v>83</v>
      </c>
      <c r="BB38" t="s">
        <v>83</v>
      </c>
      <c r="BC38">
        <v>1.2589254117941699E-4</v>
      </c>
      <c r="BD38" t="s">
        <v>83</v>
      </c>
      <c r="BE38" s="1" t="s">
        <v>137</v>
      </c>
      <c r="BF38" t="s">
        <v>83</v>
      </c>
      <c r="BG38" t="s">
        <v>83</v>
      </c>
      <c r="BH38" t="s">
        <v>83</v>
      </c>
      <c r="BI38" t="s">
        <v>83</v>
      </c>
      <c r="BJ38" t="s">
        <v>83</v>
      </c>
      <c r="BK38" s="1" t="s">
        <v>120</v>
      </c>
      <c r="BL38" s="1" t="s">
        <v>88</v>
      </c>
      <c r="BM38">
        <v>3.9810717055349703E-4</v>
      </c>
      <c r="BN38" t="s">
        <v>83</v>
      </c>
      <c r="BO38" t="s">
        <v>83</v>
      </c>
      <c r="BP38">
        <v>5.7773004515601005E-4</v>
      </c>
      <c r="BQ38">
        <v>-27.9</v>
      </c>
    </row>
    <row r="39" spans="1:69" x14ac:dyDescent="0.3">
      <c r="A39">
        <v>21038</v>
      </c>
      <c r="B39">
        <v>2020</v>
      </c>
      <c r="C39">
        <v>101</v>
      </c>
      <c r="D39">
        <v>143</v>
      </c>
      <c r="E39">
        <v>2</v>
      </c>
      <c r="F39" t="s">
        <v>96</v>
      </c>
      <c r="G39">
        <v>2.5</v>
      </c>
      <c r="H39">
        <v>2</v>
      </c>
      <c r="I39">
        <v>4</v>
      </c>
      <c r="J39">
        <v>4</v>
      </c>
      <c r="K39">
        <v>50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>
        <v>-3.1</v>
      </c>
      <c r="V39" t="s">
        <v>83</v>
      </c>
      <c r="W39" t="s">
        <v>83</v>
      </c>
      <c r="X39" t="s">
        <v>83</v>
      </c>
      <c r="Y39" t="s">
        <v>83</v>
      </c>
      <c r="Z39" t="s">
        <v>83</v>
      </c>
      <c r="AA39" t="s">
        <v>83</v>
      </c>
      <c r="AB39" t="s">
        <v>83</v>
      </c>
      <c r="AC39">
        <v>-4.5</v>
      </c>
      <c r="AD39">
        <v>-1.8</v>
      </c>
      <c r="AE39">
        <v>-4.3</v>
      </c>
      <c r="AF39" t="s">
        <v>83</v>
      </c>
      <c r="AG39" t="s">
        <v>83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3</v>
      </c>
      <c r="AQ39">
        <v>1</v>
      </c>
      <c r="AR39">
        <v>-0.20656465586919001</v>
      </c>
      <c r="AS39" t="s">
        <v>83</v>
      </c>
      <c r="AT39">
        <v>-1.26436196799695</v>
      </c>
      <c r="AU39" t="s">
        <v>83</v>
      </c>
      <c r="AV39" t="s">
        <v>83</v>
      </c>
      <c r="AW39" t="s">
        <v>83</v>
      </c>
      <c r="AX39" t="s">
        <v>83</v>
      </c>
      <c r="AY39" t="s">
        <v>83</v>
      </c>
      <c r="AZ39" t="s">
        <v>83</v>
      </c>
      <c r="BA39" t="s">
        <v>83</v>
      </c>
      <c r="BB39" t="s">
        <v>83</v>
      </c>
      <c r="BC39">
        <v>7.9432823472428099E-4</v>
      </c>
      <c r="BD39" t="s">
        <v>83</v>
      </c>
      <c r="BE39" t="s">
        <v>83</v>
      </c>
      <c r="BF39" t="s">
        <v>83</v>
      </c>
      <c r="BG39" t="s">
        <v>83</v>
      </c>
      <c r="BH39" t="s">
        <v>83</v>
      </c>
      <c r="BI39" t="s">
        <v>83</v>
      </c>
      <c r="BJ39" t="s">
        <v>83</v>
      </c>
      <c r="BK39" s="1" t="s">
        <v>92</v>
      </c>
      <c r="BL39" s="1" t="s">
        <v>102</v>
      </c>
      <c r="BM39">
        <v>1.58489319246111E-2</v>
      </c>
      <c r="BN39" t="s">
        <v>83</v>
      </c>
      <c r="BO39" t="s">
        <v>83</v>
      </c>
      <c r="BP39">
        <v>1.6725001659299799E-2</v>
      </c>
      <c r="BQ39">
        <v>-13.7</v>
      </c>
    </row>
    <row r="40" spans="1:69" x14ac:dyDescent="0.3">
      <c r="A40">
        <v>21039</v>
      </c>
      <c r="B40">
        <v>2020</v>
      </c>
      <c r="C40">
        <v>91</v>
      </c>
      <c r="D40">
        <v>147</v>
      </c>
      <c r="E40">
        <v>3</v>
      </c>
      <c r="F40" t="s">
        <v>98</v>
      </c>
      <c r="G40">
        <v>3</v>
      </c>
      <c r="H40">
        <v>0</v>
      </c>
      <c r="I40">
        <v>4</v>
      </c>
      <c r="J40">
        <v>4</v>
      </c>
      <c r="K40">
        <v>0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>
        <v>-5.6</v>
      </c>
      <c r="S40" t="s">
        <v>83</v>
      </c>
      <c r="T40" t="s">
        <v>83</v>
      </c>
      <c r="U40">
        <v>-3.7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>
        <v>-5.5</v>
      </c>
      <c r="AD40">
        <v>-1.5</v>
      </c>
      <c r="AE40">
        <v>-4.7</v>
      </c>
      <c r="AF40" t="s">
        <v>83</v>
      </c>
      <c r="AG40" t="s">
        <v>83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4</v>
      </c>
      <c r="AQ40">
        <v>1</v>
      </c>
      <c r="AR40">
        <v>-1.94170776517039</v>
      </c>
      <c r="AS40" t="s">
        <v>83</v>
      </c>
      <c r="AT40">
        <v>-1.1526979855427499</v>
      </c>
      <c r="AU40" t="s">
        <v>83</v>
      </c>
      <c r="AV40" t="s">
        <v>83</v>
      </c>
      <c r="AW40" t="s">
        <v>83</v>
      </c>
      <c r="AX40" t="s">
        <v>83</v>
      </c>
      <c r="AY40" t="s">
        <v>83</v>
      </c>
      <c r="AZ40" s="1" t="s">
        <v>115</v>
      </c>
      <c r="BA40" t="s">
        <v>83</v>
      </c>
      <c r="BB40" t="s">
        <v>83</v>
      </c>
      <c r="BC40">
        <v>1.9952623149688801E-4</v>
      </c>
      <c r="BD40" t="s">
        <v>83</v>
      </c>
      <c r="BE40" t="s">
        <v>83</v>
      </c>
      <c r="BF40" t="s">
        <v>83</v>
      </c>
      <c r="BG40" t="s">
        <v>83</v>
      </c>
      <c r="BH40" t="s">
        <v>83</v>
      </c>
      <c r="BI40" t="s">
        <v>83</v>
      </c>
      <c r="BJ40" t="s">
        <v>83</v>
      </c>
      <c r="BK40" s="1" t="s">
        <v>132</v>
      </c>
      <c r="BL40" s="1" t="s">
        <v>135</v>
      </c>
      <c r="BM40">
        <v>3.1622776601683798E-2</v>
      </c>
      <c r="BN40" t="s">
        <v>83</v>
      </c>
      <c r="BO40" t="s">
        <v>83</v>
      </c>
      <c r="BP40">
        <v>3.1847929620422002E-2</v>
      </c>
      <c r="BQ40">
        <v>-21</v>
      </c>
    </row>
    <row r="41" spans="1:69" x14ac:dyDescent="0.3">
      <c r="A41">
        <v>21041</v>
      </c>
      <c r="B41">
        <v>2020</v>
      </c>
      <c r="C41">
        <v>117</v>
      </c>
      <c r="D41">
        <v>234</v>
      </c>
      <c r="E41">
        <v>3</v>
      </c>
      <c r="F41" t="s">
        <v>104</v>
      </c>
      <c r="G41">
        <v>6</v>
      </c>
      <c r="H41">
        <v>0</v>
      </c>
      <c r="I41">
        <v>4</v>
      </c>
      <c r="J41">
        <v>4</v>
      </c>
      <c r="K41">
        <v>0</v>
      </c>
      <c r="L41" t="s">
        <v>83</v>
      </c>
      <c r="M41" t="s">
        <v>83</v>
      </c>
      <c r="N41" t="s">
        <v>83</v>
      </c>
      <c r="O41">
        <v>-3.1</v>
      </c>
      <c r="P41">
        <v>-3.8</v>
      </c>
      <c r="Q41" t="s">
        <v>83</v>
      </c>
      <c r="R41">
        <v>-3.6</v>
      </c>
      <c r="S41" t="s">
        <v>83</v>
      </c>
      <c r="T41" t="s">
        <v>83</v>
      </c>
      <c r="U41">
        <v>-1.9</v>
      </c>
      <c r="V41" t="s">
        <v>83</v>
      </c>
      <c r="W41" t="s">
        <v>83</v>
      </c>
      <c r="X41" t="s">
        <v>83</v>
      </c>
      <c r="Y41" t="s">
        <v>83</v>
      </c>
      <c r="Z41" t="s">
        <v>83</v>
      </c>
      <c r="AA41" t="s">
        <v>83</v>
      </c>
      <c r="AB41" t="s">
        <v>83</v>
      </c>
      <c r="AC41" t="s">
        <v>83</v>
      </c>
      <c r="AD41">
        <v>-0.3</v>
      </c>
      <c r="AE41" t="s">
        <v>83</v>
      </c>
      <c r="AF41" t="s">
        <v>83</v>
      </c>
      <c r="AG41" t="s">
        <v>83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3</v>
      </c>
      <c r="AQ41">
        <v>1</v>
      </c>
      <c r="AR41">
        <v>-1.94170776517039</v>
      </c>
      <c r="AS41" t="s">
        <v>83</v>
      </c>
      <c r="AT41">
        <v>-0.48271409081760103</v>
      </c>
      <c r="AU41" t="s">
        <v>83</v>
      </c>
      <c r="AV41" t="s">
        <v>83</v>
      </c>
      <c r="AW41">
        <v>7.9432823472428099E-4</v>
      </c>
      <c r="AX41">
        <v>1.5848931924611101E-4</v>
      </c>
      <c r="AY41" t="s">
        <v>83</v>
      </c>
      <c r="AZ41">
        <v>2.5118864315095801E-4</v>
      </c>
      <c r="BA41" t="s">
        <v>83</v>
      </c>
      <c r="BB41" t="s">
        <v>83</v>
      </c>
      <c r="BC41">
        <v>1.2589254117941699E-2</v>
      </c>
      <c r="BD41" t="s">
        <v>83</v>
      </c>
      <c r="BE41" t="s">
        <v>83</v>
      </c>
      <c r="BF41" t="s">
        <v>83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83</v>
      </c>
      <c r="BM41">
        <v>0.50118723362727202</v>
      </c>
      <c r="BN41" t="s">
        <v>83</v>
      </c>
      <c r="BO41" t="s">
        <v>83</v>
      </c>
      <c r="BP41">
        <v>0.51498049394233503</v>
      </c>
      <c r="BQ41">
        <v>-12.7</v>
      </c>
    </row>
    <row r="42" spans="1:69" x14ac:dyDescent="0.3">
      <c r="A42">
        <v>21042</v>
      </c>
      <c r="B42">
        <v>2020</v>
      </c>
      <c r="C42">
        <v>77</v>
      </c>
      <c r="D42">
        <v>236</v>
      </c>
      <c r="E42">
        <v>3</v>
      </c>
      <c r="F42" t="s">
        <v>105</v>
      </c>
      <c r="G42">
        <v>7</v>
      </c>
      <c r="H42">
        <v>1</v>
      </c>
      <c r="I42">
        <v>2</v>
      </c>
      <c r="J42">
        <v>2</v>
      </c>
      <c r="K42">
        <v>50</v>
      </c>
      <c r="L42" t="s">
        <v>83</v>
      </c>
      <c r="M42" t="s">
        <v>83</v>
      </c>
      <c r="N42" t="s">
        <v>83</v>
      </c>
      <c r="O42" t="s">
        <v>83</v>
      </c>
      <c r="P42">
        <v>1</v>
      </c>
      <c r="Q42" t="s">
        <v>83</v>
      </c>
      <c r="R42">
        <v>-0.2</v>
      </c>
      <c r="S42">
        <v>-0.3</v>
      </c>
      <c r="T42" t="s">
        <v>83</v>
      </c>
      <c r="U42" t="s">
        <v>83</v>
      </c>
      <c r="V42" t="s">
        <v>83</v>
      </c>
      <c r="W42" t="s">
        <v>83</v>
      </c>
      <c r="X42">
        <v>-0.7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>
        <v>1.2</v>
      </c>
      <c r="AE42" t="s">
        <v>83</v>
      </c>
      <c r="AF42" t="s">
        <v>83</v>
      </c>
      <c r="AG42" t="s">
        <v>83</v>
      </c>
      <c r="AH42">
        <v>1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3</v>
      </c>
      <c r="AQ42">
        <v>1</v>
      </c>
      <c r="AR42">
        <v>-0.20656465586919001</v>
      </c>
      <c r="AS42" t="s">
        <v>83</v>
      </c>
      <c r="AT42">
        <v>-0.259386125909217</v>
      </c>
      <c r="AU42" t="s">
        <v>83</v>
      </c>
      <c r="AV42" t="s">
        <v>83</v>
      </c>
      <c r="AW42" t="s">
        <v>83</v>
      </c>
      <c r="AX42">
        <v>10</v>
      </c>
      <c r="AY42" t="s">
        <v>83</v>
      </c>
      <c r="AZ42">
        <v>0.63095734448019303</v>
      </c>
      <c r="BA42">
        <v>0.50118723362727202</v>
      </c>
      <c r="BB42" t="s">
        <v>83</v>
      </c>
      <c r="BC42" t="s">
        <v>83</v>
      </c>
      <c r="BD42" t="s">
        <v>83</v>
      </c>
      <c r="BE42" t="s">
        <v>83</v>
      </c>
      <c r="BF42">
        <v>0.199526231496888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83</v>
      </c>
      <c r="BM42">
        <v>15.848931924611099</v>
      </c>
      <c r="BN42" t="s">
        <v>83</v>
      </c>
      <c r="BO42" t="s">
        <v>83</v>
      </c>
      <c r="BP42">
        <v>27.180602734215501</v>
      </c>
      <c r="BQ42">
        <v>1</v>
      </c>
    </row>
    <row r="43" spans="1:69" x14ac:dyDescent="0.3">
      <c r="A43">
        <v>21044</v>
      </c>
      <c r="B43">
        <v>2020</v>
      </c>
      <c r="C43">
        <v>89</v>
      </c>
      <c r="D43">
        <v>304</v>
      </c>
      <c r="E43">
        <v>3</v>
      </c>
      <c r="F43" t="s">
        <v>110</v>
      </c>
      <c r="G43">
        <v>6</v>
      </c>
      <c r="H43">
        <v>4</v>
      </c>
      <c r="I43">
        <v>4</v>
      </c>
      <c r="J43">
        <v>4</v>
      </c>
      <c r="K43">
        <v>100</v>
      </c>
      <c r="L43" t="s">
        <v>83</v>
      </c>
      <c r="M43">
        <v>-5.0999999999999996</v>
      </c>
      <c r="N43" t="s">
        <v>83</v>
      </c>
      <c r="O43" t="s">
        <v>83</v>
      </c>
      <c r="P43">
        <v>-5.6</v>
      </c>
      <c r="Q43" t="s">
        <v>83</v>
      </c>
      <c r="R43">
        <v>-5.7</v>
      </c>
      <c r="S43">
        <v>-4.7</v>
      </c>
      <c r="T43" t="s">
        <v>83</v>
      </c>
      <c r="U43">
        <v>-3.9</v>
      </c>
      <c r="V43">
        <v>-4.0999999999999996</v>
      </c>
      <c r="W43">
        <v>-4.5</v>
      </c>
      <c r="X43">
        <v>-4.5999999999999996</v>
      </c>
      <c r="Y43" t="s">
        <v>83</v>
      </c>
      <c r="Z43" t="s">
        <v>83</v>
      </c>
      <c r="AA43">
        <v>-3.9</v>
      </c>
      <c r="AB43" t="s">
        <v>83</v>
      </c>
      <c r="AC43">
        <v>-5.6</v>
      </c>
      <c r="AD43">
        <v>-1.1000000000000001</v>
      </c>
      <c r="AE43" t="s">
        <v>83</v>
      </c>
      <c r="AF43" t="s">
        <v>83</v>
      </c>
      <c r="AG43" t="s">
        <v>83</v>
      </c>
      <c r="AH43">
        <v>1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0</v>
      </c>
      <c r="AP43">
        <v>6</v>
      </c>
      <c r="AQ43">
        <v>1</v>
      </c>
      <c r="AR43">
        <v>1.5285784534320099</v>
      </c>
      <c r="AS43" t="s">
        <v>83</v>
      </c>
      <c r="AT43">
        <v>-0.48271409081760103</v>
      </c>
      <c r="AU43" s="1" t="s">
        <v>120</v>
      </c>
      <c r="AV43" t="s">
        <v>83</v>
      </c>
      <c r="AW43" t="s">
        <v>83</v>
      </c>
      <c r="AX43" s="1" t="s">
        <v>115</v>
      </c>
      <c r="AY43" t="s">
        <v>83</v>
      </c>
      <c r="AZ43" s="1" t="s">
        <v>91</v>
      </c>
      <c r="BA43" s="1" t="s">
        <v>135</v>
      </c>
      <c r="BB43" t="s">
        <v>83</v>
      </c>
      <c r="BC43">
        <v>1.2589254117941699E-4</v>
      </c>
      <c r="BD43" s="1" t="s">
        <v>87</v>
      </c>
      <c r="BE43" s="1" t="s">
        <v>92</v>
      </c>
      <c r="BF43" s="1" t="s">
        <v>109</v>
      </c>
      <c r="BG43" t="s">
        <v>83</v>
      </c>
      <c r="BH43" t="s">
        <v>83</v>
      </c>
      <c r="BI43">
        <v>1.2589254117941699E-4</v>
      </c>
      <c r="BJ43" t="s">
        <v>83</v>
      </c>
      <c r="BK43" s="1" t="s">
        <v>115</v>
      </c>
      <c r="BL43" t="s">
        <v>83</v>
      </c>
      <c r="BM43">
        <v>7.9432823472428096E-2</v>
      </c>
      <c r="BN43" t="s">
        <v>83</v>
      </c>
      <c r="BO43" t="s">
        <v>83</v>
      </c>
      <c r="BP43">
        <v>7.9855697959851105E-2</v>
      </c>
      <c r="BQ43">
        <v>-48.8</v>
      </c>
    </row>
    <row r="44" spans="1:69" x14ac:dyDescent="0.3">
      <c r="A44">
        <v>21046</v>
      </c>
      <c r="B44">
        <v>2020</v>
      </c>
      <c r="C44">
        <v>79</v>
      </c>
      <c r="D44">
        <v>901</v>
      </c>
      <c r="E44">
        <v>3</v>
      </c>
      <c r="F44" t="s">
        <v>116</v>
      </c>
      <c r="G44">
        <v>19</v>
      </c>
      <c r="H44">
        <v>3</v>
      </c>
      <c r="I44">
        <v>4</v>
      </c>
      <c r="J44">
        <v>5</v>
      </c>
      <c r="K44">
        <v>60</v>
      </c>
      <c r="L44" t="s">
        <v>83</v>
      </c>
      <c r="M44" t="s">
        <v>83</v>
      </c>
      <c r="N44">
        <v>-4.2</v>
      </c>
      <c r="O44">
        <v>-5.0999999999999996</v>
      </c>
      <c r="P44">
        <v>-5.3</v>
      </c>
      <c r="Q44" t="s">
        <v>83</v>
      </c>
      <c r="R44">
        <v>-5.6</v>
      </c>
      <c r="S44">
        <v>-4.9000000000000004</v>
      </c>
      <c r="T44" t="s">
        <v>83</v>
      </c>
      <c r="U44">
        <v>-3.9</v>
      </c>
      <c r="V44">
        <v>-4.7</v>
      </c>
      <c r="W44">
        <v>-4.9000000000000004</v>
      </c>
      <c r="X44">
        <v>-5.2</v>
      </c>
      <c r="Y44" t="s">
        <v>83</v>
      </c>
      <c r="Z44" t="s">
        <v>83</v>
      </c>
      <c r="AA44" t="s">
        <v>83</v>
      </c>
      <c r="AB44" t="s">
        <v>83</v>
      </c>
      <c r="AC44">
        <v>-5.2</v>
      </c>
      <c r="AD44">
        <v>-2</v>
      </c>
      <c r="AE44" t="s">
        <v>83</v>
      </c>
      <c r="AF44" t="s">
        <v>83</v>
      </c>
      <c r="AG44">
        <v>-5.2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6</v>
      </c>
      <c r="AQ44">
        <v>1</v>
      </c>
      <c r="AR44">
        <v>0.14046396599104899</v>
      </c>
      <c r="AS44" t="s">
        <v>83</v>
      </c>
      <c r="AT44">
        <v>2.42054945299139</v>
      </c>
      <c r="AU44" t="s">
        <v>83</v>
      </c>
      <c r="AV44" s="1" t="s">
        <v>89</v>
      </c>
      <c r="AW44" s="1" t="s">
        <v>120</v>
      </c>
      <c r="AX44" s="1" t="s">
        <v>114</v>
      </c>
      <c r="AY44" t="s">
        <v>83</v>
      </c>
      <c r="AZ44" s="1" t="s">
        <v>115</v>
      </c>
      <c r="BA44" s="1" t="s">
        <v>100</v>
      </c>
      <c r="BB44" t="s">
        <v>83</v>
      </c>
      <c r="BC44">
        <v>1.2589254117941699E-4</v>
      </c>
      <c r="BD44" s="1" t="s">
        <v>135</v>
      </c>
      <c r="BE44" s="1" t="s">
        <v>100</v>
      </c>
      <c r="BF44" s="1" t="s">
        <v>86</v>
      </c>
      <c r="BG44" t="s">
        <v>83</v>
      </c>
      <c r="BH44" t="s">
        <v>83</v>
      </c>
      <c r="BI44" t="s">
        <v>83</v>
      </c>
      <c r="BJ44" t="s">
        <v>83</v>
      </c>
      <c r="BK44" s="1" t="s">
        <v>86</v>
      </c>
      <c r="BL44" t="s">
        <v>83</v>
      </c>
      <c r="BM44">
        <v>0.01</v>
      </c>
      <c r="BN44" t="s">
        <v>83</v>
      </c>
      <c r="BO44" s="1" t="s">
        <v>86</v>
      </c>
      <c r="BP44">
        <v>1.0268515168462399E-2</v>
      </c>
      <c r="BQ44">
        <v>-56.2</v>
      </c>
    </row>
    <row r="45" spans="1:69" x14ac:dyDescent="0.3">
      <c r="A45">
        <v>21047</v>
      </c>
      <c r="B45">
        <v>2020</v>
      </c>
      <c r="C45">
        <v>103</v>
      </c>
      <c r="D45">
        <v>910</v>
      </c>
      <c r="E45">
        <v>3</v>
      </c>
      <c r="F45" t="s">
        <v>117</v>
      </c>
      <c r="G45">
        <v>9</v>
      </c>
      <c r="H45">
        <v>4</v>
      </c>
      <c r="I45">
        <v>4</v>
      </c>
      <c r="J45">
        <v>4</v>
      </c>
      <c r="K45">
        <v>100</v>
      </c>
      <c r="L45" t="s">
        <v>83</v>
      </c>
      <c r="M45">
        <v>-3.6</v>
      </c>
      <c r="N45" t="s">
        <v>83</v>
      </c>
      <c r="O45" t="s">
        <v>83</v>
      </c>
      <c r="P45" t="s">
        <v>83</v>
      </c>
      <c r="Q45" t="s">
        <v>83</v>
      </c>
      <c r="R45">
        <v>-4</v>
      </c>
      <c r="S45" t="s">
        <v>83</v>
      </c>
      <c r="T45" t="s">
        <v>83</v>
      </c>
      <c r="U45">
        <v>-2.6</v>
      </c>
      <c r="V45" t="s">
        <v>83</v>
      </c>
      <c r="W45">
        <v>-3.7</v>
      </c>
      <c r="X45" t="s">
        <v>83</v>
      </c>
      <c r="Y45" t="s">
        <v>83</v>
      </c>
      <c r="Z45" t="s">
        <v>83</v>
      </c>
      <c r="AA45" t="s">
        <v>83</v>
      </c>
      <c r="AB45" t="s">
        <v>83</v>
      </c>
      <c r="AC45" t="s">
        <v>83</v>
      </c>
      <c r="AD45" t="s">
        <v>83</v>
      </c>
      <c r="AE45" t="s">
        <v>83</v>
      </c>
      <c r="AF45" t="s">
        <v>83</v>
      </c>
      <c r="AG45" t="s">
        <v>83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3</v>
      </c>
      <c r="AQ45">
        <v>1</v>
      </c>
      <c r="AR45">
        <v>1.5285784534320099</v>
      </c>
      <c r="AS45" t="s">
        <v>83</v>
      </c>
      <c r="AT45">
        <v>0.18726980390755099</v>
      </c>
      <c r="AU45">
        <v>2.5118864315095801E-4</v>
      </c>
      <c r="AV45" t="s">
        <v>83</v>
      </c>
      <c r="AW45" t="s">
        <v>83</v>
      </c>
      <c r="AX45" t="s">
        <v>83</v>
      </c>
      <c r="AY45" t="s">
        <v>83</v>
      </c>
      <c r="AZ45" s="1" t="s">
        <v>103</v>
      </c>
      <c r="BA45" t="s">
        <v>83</v>
      </c>
      <c r="BB45" t="s">
        <v>83</v>
      </c>
      <c r="BC45">
        <v>2.5118864315095799E-3</v>
      </c>
      <c r="BD45" t="s">
        <v>83</v>
      </c>
      <c r="BE45">
        <v>1.9952623149688801E-4</v>
      </c>
      <c r="BF45" t="s">
        <v>83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83</v>
      </c>
      <c r="BM45" t="s">
        <v>83</v>
      </c>
      <c r="BN45" t="s">
        <v>83</v>
      </c>
      <c r="BO45" t="s">
        <v>83</v>
      </c>
      <c r="BP45">
        <v>3.06260130615743E-3</v>
      </c>
      <c r="BQ45">
        <v>-13.9</v>
      </c>
    </row>
    <row r="46" spans="1:69" x14ac:dyDescent="0.3">
      <c r="A46">
        <v>21048</v>
      </c>
      <c r="B46">
        <v>2020</v>
      </c>
      <c r="C46">
        <v>71</v>
      </c>
      <c r="D46">
        <v>911</v>
      </c>
      <c r="E46">
        <v>3</v>
      </c>
      <c r="F46" t="s">
        <v>118</v>
      </c>
      <c r="G46">
        <v>5</v>
      </c>
      <c r="H46">
        <v>3</v>
      </c>
      <c r="I46">
        <v>4</v>
      </c>
      <c r="J46">
        <v>4</v>
      </c>
      <c r="K46">
        <v>75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>
        <v>0.7</v>
      </c>
      <c r="V46">
        <v>-0.1</v>
      </c>
      <c r="W46" t="s">
        <v>83</v>
      </c>
      <c r="X46" t="s">
        <v>83</v>
      </c>
      <c r="Y46" t="s">
        <v>83</v>
      </c>
      <c r="Z46" t="s">
        <v>83</v>
      </c>
      <c r="AA46" t="s">
        <v>83</v>
      </c>
      <c r="AB46" t="s">
        <v>83</v>
      </c>
      <c r="AC46" t="s">
        <v>83</v>
      </c>
      <c r="AD46" t="s">
        <v>83</v>
      </c>
      <c r="AE46" t="s">
        <v>83</v>
      </c>
      <c r="AF46" t="s">
        <v>83</v>
      </c>
      <c r="AG46" t="s">
        <v>83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0.66100689878140895</v>
      </c>
      <c r="AS46" t="s">
        <v>83</v>
      </c>
      <c r="AT46">
        <v>-0.706042055725985</v>
      </c>
      <c r="AU46" t="s">
        <v>83</v>
      </c>
      <c r="AV46" t="s">
        <v>83</v>
      </c>
      <c r="AW46" t="s">
        <v>83</v>
      </c>
      <c r="AX46" t="s">
        <v>83</v>
      </c>
      <c r="AY46" t="s">
        <v>83</v>
      </c>
      <c r="AZ46" t="s">
        <v>83</v>
      </c>
      <c r="BA46" t="s">
        <v>83</v>
      </c>
      <c r="BB46" t="s">
        <v>83</v>
      </c>
      <c r="BC46">
        <v>5.0118723362727202</v>
      </c>
      <c r="BD46">
        <v>0.79432823472428105</v>
      </c>
      <c r="BE46" t="s">
        <v>83</v>
      </c>
      <c r="BF46" t="s">
        <v>83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83</v>
      </c>
      <c r="BM46" t="s">
        <v>83</v>
      </c>
      <c r="BN46" t="s">
        <v>83</v>
      </c>
      <c r="BO46" t="s">
        <v>83</v>
      </c>
      <c r="BP46">
        <v>5.8062005709970004</v>
      </c>
      <c r="BQ46">
        <v>0.6</v>
      </c>
    </row>
    <row r="47" spans="1:69" x14ac:dyDescent="0.3">
      <c r="A47">
        <v>21049</v>
      </c>
      <c r="B47">
        <v>2020</v>
      </c>
      <c r="C47">
        <v>83</v>
      </c>
      <c r="D47">
        <v>952</v>
      </c>
      <c r="E47">
        <v>3</v>
      </c>
      <c r="F47" t="s">
        <v>119</v>
      </c>
      <c r="G47">
        <v>16</v>
      </c>
      <c r="H47">
        <v>3</v>
      </c>
      <c r="I47">
        <v>4</v>
      </c>
      <c r="J47">
        <v>5</v>
      </c>
      <c r="K47">
        <v>60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>
        <v>-0.6</v>
      </c>
      <c r="S47">
        <v>-0.5</v>
      </c>
      <c r="T47" t="s">
        <v>83</v>
      </c>
      <c r="U47" t="s">
        <v>83</v>
      </c>
      <c r="V47" t="s">
        <v>83</v>
      </c>
      <c r="W47" t="s">
        <v>83</v>
      </c>
      <c r="X47" t="s">
        <v>83</v>
      </c>
      <c r="Y47" t="s">
        <v>83</v>
      </c>
      <c r="Z47" t="s">
        <v>83</v>
      </c>
      <c r="AA47" t="s">
        <v>83</v>
      </c>
      <c r="AB47" t="s">
        <v>83</v>
      </c>
      <c r="AC47" t="s">
        <v>83</v>
      </c>
      <c r="AD47">
        <v>1.4</v>
      </c>
      <c r="AE47" t="s">
        <v>83</v>
      </c>
      <c r="AF47" t="s">
        <v>83</v>
      </c>
      <c r="AG47" t="s">
        <v>83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2</v>
      </c>
      <c r="AQ47">
        <v>0</v>
      </c>
      <c r="AR47">
        <v>0.14046396599104899</v>
      </c>
      <c r="AS47" t="s">
        <v>83</v>
      </c>
      <c r="AT47">
        <v>1.7505655582662401</v>
      </c>
      <c r="AU47" t="s">
        <v>83</v>
      </c>
      <c r="AV47" t="s">
        <v>83</v>
      </c>
      <c r="AW47" t="s">
        <v>83</v>
      </c>
      <c r="AX47" t="s">
        <v>83</v>
      </c>
      <c r="AY47" t="s">
        <v>83</v>
      </c>
      <c r="AZ47">
        <v>0.25118864315095801</v>
      </c>
      <c r="BA47">
        <v>0.316227766016838</v>
      </c>
      <c r="BB47" t="s">
        <v>83</v>
      </c>
      <c r="BC47" t="s">
        <v>83</v>
      </c>
      <c r="BD47" t="s">
        <v>83</v>
      </c>
      <c r="BE47" t="s">
        <v>83</v>
      </c>
      <c r="BF47" t="s">
        <v>83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83</v>
      </c>
      <c r="BM47">
        <v>25.118864315095799</v>
      </c>
      <c r="BN47" t="s">
        <v>83</v>
      </c>
      <c r="BO47" t="s">
        <v>83</v>
      </c>
      <c r="BP47">
        <v>25.6862807242636</v>
      </c>
      <c r="BQ47">
        <v>0.3</v>
      </c>
    </row>
    <row r="48" spans="1:69" x14ac:dyDescent="0.3">
      <c r="A48">
        <v>21050</v>
      </c>
      <c r="B48">
        <v>2020</v>
      </c>
      <c r="C48">
        <v>81</v>
      </c>
      <c r="D48">
        <v>973</v>
      </c>
      <c r="E48">
        <v>3</v>
      </c>
      <c r="F48" t="s">
        <v>121</v>
      </c>
      <c r="G48">
        <v>19</v>
      </c>
      <c r="H48">
        <v>3</v>
      </c>
      <c r="I48">
        <v>4</v>
      </c>
      <c r="J48">
        <v>5</v>
      </c>
      <c r="K48">
        <v>60</v>
      </c>
      <c r="L48" t="s">
        <v>83</v>
      </c>
      <c r="M48" t="s">
        <v>83</v>
      </c>
      <c r="N48" t="s">
        <v>83</v>
      </c>
      <c r="O48" t="s">
        <v>83</v>
      </c>
      <c r="P48" t="s">
        <v>83</v>
      </c>
      <c r="Q48" t="s">
        <v>83</v>
      </c>
      <c r="R48">
        <v>-1.7</v>
      </c>
      <c r="S48" t="s">
        <v>83</v>
      </c>
      <c r="T48" t="s">
        <v>83</v>
      </c>
      <c r="U48" t="s">
        <v>83</v>
      </c>
      <c r="V48">
        <v>-1.5</v>
      </c>
      <c r="W48" t="s">
        <v>83</v>
      </c>
      <c r="X48">
        <v>-1.6</v>
      </c>
      <c r="Y48" t="s">
        <v>83</v>
      </c>
      <c r="Z48" t="s">
        <v>83</v>
      </c>
      <c r="AA48" t="s">
        <v>83</v>
      </c>
      <c r="AB48" t="s">
        <v>83</v>
      </c>
      <c r="AC48">
        <v>-0.1</v>
      </c>
      <c r="AD48" t="s">
        <v>83</v>
      </c>
      <c r="AE48" t="s">
        <v>83</v>
      </c>
      <c r="AF48" t="s">
        <v>83</v>
      </c>
      <c r="AG48" t="s">
        <v>83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4</v>
      </c>
      <c r="AQ48">
        <v>1</v>
      </c>
      <c r="AR48">
        <v>0.14046396599104899</v>
      </c>
      <c r="AS48" t="s">
        <v>83</v>
      </c>
      <c r="AT48">
        <v>2.42054945299139</v>
      </c>
      <c r="AU48" t="s">
        <v>83</v>
      </c>
      <c r="AV48" t="s">
        <v>83</v>
      </c>
      <c r="AW48" t="s">
        <v>83</v>
      </c>
      <c r="AX48" t="s">
        <v>83</v>
      </c>
      <c r="AY48" t="s">
        <v>83</v>
      </c>
      <c r="AZ48">
        <v>1.9952623149688799E-2</v>
      </c>
      <c r="BA48" t="s">
        <v>83</v>
      </c>
      <c r="BB48" t="s">
        <v>83</v>
      </c>
      <c r="BC48" t="s">
        <v>83</v>
      </c>
      <c r="BD48">
        <v>3.1622776601683798E-2</v>
      </c>
      <c r="BE48" t="s">
        <v>83</v>
      </c>
      <c r="BF48">
        <v>2.5118864315095801E-2</v>
      </c>
      <c r="BG48" t="s">
        <v>83</v>
      </c>
      <c r="BH48" t="s">
        <v>83</v>
      </c>
      <c r="BI48" t="s">
        <v>83</v>
      </c>
      <c r="BJ48" t="s">
        <v>83</v>
      </c>
      <c r="BK48">
        <v>0.79432823472428105</v>
      </c>
      <c r="BL48" t="s">
        <v>83</v>
      </c>
      <c r="BM48" t="s">
        <v>83</v>
      </c>
      <c r="BN48" t="s">
        <v>83</v>
      </c>
      <c r="BO48" t="s">
        <v>83</v>
      </c>
      <c r="BP48">
        <v>0.87102249879075</v>
      </c>
      <c r="BQ48">
        <v>-4.9000000000000004</v>
      </c>
    </row>
    <row r="49" spans="1:69" x14ac:dyDescent="0.3">
      <c r="A49">
        <v>21051</v>
      </c>
      <c r="B49">
        <v>2020</v>
      </c>
      <c r="C49">
        <v>111</v>
      </c>
      <c r="D49">
        <v>1901</v>
      </c>
      <c r="E49">
        <v>3</v>
      </c>
      <c r="F49" t="s">
        <v>122</v>
      </c>
      <c r="G49">
        <v>6</v>
      </c>
      <c r="H49">
        <v>3</v>
      </c>
      <c r="I49">
        <v>3</v>
      </c>
      <c r="J49">
        <v>3</v>
      </c>
      <c r="K49">
        <v>100</v>
      </c>
      <c r="L49" t="s">
        <v>83</v>
      </c>
      <c r="M49" t="s">
        <v>83</v>
      </c>
      <c r="N49" t="s">
        <v>83</v>
      </c>
      <c r="O49" t="s">
        <v>83</v>
      </c>
      <c r="P49" t="s">
        <v>83</v>
      </c>
      <c r="Q49" t="s">
        <v>83</v>
      </c>
      <c r="R49">
        <v>-0.9</v>
      </c>
      <c r="S49" t="s">
        <v>83</v>
      </c>
      <c r="T49" t="s">
        <v>83</v>
      </c>
      <c r="U49" t="s">
        <v>83</v>
      </c>
      <c r="V49" t="s">
        <v>83</v>
      </c>
      <c r="W49" t="s">
        <v>83</v>
      </c>
      <c r="X49" t="s">
        <v>83</v>
      </c>
      <c r="Y49" t="s">
        <v>83</v>
      </c>
      <c r="Z49" t="s">
        <v>83</v>
      </c>
      <c r="AA49" t="s">
        <v>83</v>
      </c>
      <c r="AB49" t="s">
        <v>83</v>
      </c>
      <c r="AC49" t="s">
        <v>83</v>
      </c>
      <c r="AD49" t="s">
        <v>83</v>
      </c>
      <c r="AE49" t="s">
        <v>83</v>
      </c>
      <c r="AF49" t="s">
        <v>83</v>
      </c>
      <c r="AG49" t="s">
        <v>83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1.5285784534320099</v>
      </c>
      <c r="AS49" t="s">
        <v>83</v>
      </c>
      <c r="AT49">
        <v>-0.48271409081760103</v>
      </c>
      <c r="AU49" t="s">
        <v>83</v>
      </c>
      <c r="AV49" t="s">
        <v>83</v>
      </c>
      <c r="AW49" t="s">
        <v>83</v>
      </c>
      <c r="AX49" t="s">
        <v>83</v>
      </c>
      <c r="AY49" t="s">
        <v>83</v>
      </c>
      <c r="AZ49">
        <v>0.12589254117941701</v>
      </c>
      <c r="BA49" t="s">
        <v>83</v>
      </c>
      <c r="BB49" t="s">
        <v>83</v>
      </c>
      <c r="BC49" t="s">
        <v>83</v>
      </c>
      <c r="BD49" t="s">
        <v>83</v>
      </c>
      <c r="BE49" t="s">
        <v>83</v>
      </c>
      <c r="BF49" t="s">
        <v>83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83</v>
      </c>
      <c r="BM49" t="s">
        <v>83</v>
      </c>
      <c r="BN49" t="s">
        <v>83</v>
      </c>
      <c r="BO49" t="s">
        <v>83</v>
      </c>
      <c r="BP49">
        <v>0.12589254117941701</v>
      </c>
      <c r="BQ49">
        <v>-0.9</v>
      </c>
    </row>
    <row r="50" spans="1:69" x14ac:dyDescent="0.3">
      <c r="A50">
        <v>21052</v>
      </c>
      <c r="B50">
        <v>2020</v>
      </c>
      <c r="C50">
        <v>75</v>
      </c>
      <c r="D50">
        <v>1907</v>
      </c>
      <c r="E50">
        <v>3</v>
      </c>
      <c r="F50" t="s">
        <v>123</v>
      </c>
      <c r="G50">
        <v>5</v>
      </c>
      <c r="H50">
        <v>2</v>
      </c>
      <c r="I50">
        <v>2</v>
      </c>
      <c r="J50">
        <v>3</v>
      </c>
      <c r="K50">
        <v>67</v>
      </c>
      <c r="L50" t="s">
        <v>83</v>
      </c>
      <c r="M50" t="s">
        <v>83</v>
      </c>
      <c r="N50" t="s">
        <v>83</v>
      </c>
      <c r="O50" t="s">
        <v>83</v>
      </c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83</v>
      </c>
      <c r="V50" t="s">
        <v>83</v>
      </c>
      <c r="W50" t="s">
        <v>83</v>
      </c>
      <c r="X50" t="s">
        <v>83</v>
      </c>
      <c r="Y50" t="s">
        <v>83</v>
      </c>
      <c r="Z50" t="s">
        <v>83</v>
      </c>
      <c r="AA50" t="s">
        <v>83</v>
      </c>
      <c r="AB50" t="s">
        <v>83</v>
      </c>
      <c r="AC50" t="s">
        <v>83</v>
      </c>
      <c r="AD50">
        <v>1.7</v>
      </c>
      <c r="AE50" t="s">
        <v>83</v>
      </c>
      <c r="AF50" t="s">
        <v>83</v>
      </c>
      <c r="AG50" t="s">
        <v>83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0.38338400129321698</v>
      </c>
      <c r="AS50" t="s">
        <v>83</v>
      </c>
      <c r="AT50">
        <v>-0.706042055725985</v>
      </c>
      <c r="AU50" t="s">
        <v>83</v>
      </c>
      <c r="AV50" t="s">
        <v>83</v>
      </c>
      <c r="AW50" t="s">
        <v>83</v>
      </c>
      <c r="AX50" t="s">
        <v>83</v>
      </c>
      <c r="AY50" t="s">
        <v>83</v>
      </c>
      <c r="AZ50" t="s">
        <v>83</v>
      </c>
      <c r="BA50" t="s">
        <v>83</v>
      </c>
      <c r="BB50" t="s">
        <v>83</v>
      </c>
      <c r="BC50" t="s">
        <v>83</v>
      </c>
      <c r="BD50" t="s">
        <v>83</v>
      </c>
      <c r="BE50" t="s">
        <v>83</v>
      </c>
      <c r="BF50" t="s">
        <v>83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83</v>
      </c>
      <c r="BM50">
        <v>50.118723362727202</v>
      </c>
      <c r="BN50" t="s">
        <v>83</v>
      </c>
      <c r="BO50" t="s">
        <v>83</v>
      </c>
      <c r="BP50">
        <v>50.118723362727202</v>
      </c>
      <c r="BQ50">
        <v>1.7</v>
      </c>
    </row>
    <row r="51" spans="1:69" x14ac:dyDescent="0.3">
      <c r="A51">
        <v>21053</v>
      </c>
      <c r="B51">
        <v>2020</v>
      </c>
      <c r="C51">
        <v>73</v>
      </c>
      <c r="D51">
        <v>1908</v>
      </c>
      <c r="E51">
        <v>3</v>
      </c>
      <c r="F51" t="s">
        <v>125</v>
      </c>
      <c r="G51">
        <v>6</v>
      </c>
      <c r="H51">
        <v>2</v>
      </c>
      <c r="I51">
        <v>3</v>
      </c>
      <c r="J51">
        <v>4</v>
      </c>
      <c r="K51">
        <v>50</v>
      </c>
      <c r="L51" t="s">
        <v>83</v>
      </c>
      <c r="M51" t="s">
        <v>83</v>
      </c>
      <c r="N51" t="s">
        <v>83</v>
      </c>
      <c r="O51">
        <v>-2.2999999999999998</v>
      </c>
      <c r="P51" t="s">
        <v>83</v>
      </c>
      <c r="Q51" t="s">
        <v>83</v>
      </c>
      <c r="R51">
        <v>-2.2999999999999998</v>
      </c>
      <c r="S51">
        <v>-2.2999999999999998</v>
      </c>
      <c r="T51" t="s">
        <v>83</v>
      </c>
      <c r="U51" t="s">
        <v>83</v>
      </c>
      <c r="V51" t="s">
        <v>83</v>
      </c>
      <c r="W51" t="s">
        <v>83</v>
      </c>
      <c r="X51" t="s">
        <v>83</v>
      </c>
      <c r="Y51" t="s">
        <v>83</v>
      </c>
      <c r="Z51" t="s">
        <v>83</v>
      </c>
      <c r="AA51" t="s">
        <v>83</v>
      </c>
      <c r="AB51" t="s">
        <v>83</v>
      </c>
      <c r="AC51" t="s">
        <v>83</v>
      </c>
      <c r="AD51">
        <v>-0.1</v>
      </c>
      <c r="AE51" t="s">
        <v>83</v>
      </c>
      <c r="AF51" t="s">
        <v>83</v>
      </c>
      <c r="AG51" t="s">
        <v>83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2</v>
      </c>
      <c r="AQ51">
        <v>0</v>
      </c>
      <c r="AR51">
        <v>-0.20656465586919001</v>
      </c>
      <c r="AS51" t="s">
        <v>83</v>
      </c>
      <c r="AT51">
        <v>-0.48271409081760103</v>
      </c>
      <c r="AU51" t="s">
        <v>83</v>
      </c>
      <c r="AV51" t="s">
        <v>83</v>
      </c>
      <c r="AW51">
        <v>5.0118723362727203E-3</v>
      </c>
      <c r="AX51" t="s">
        <v>83</v>
      </c>
      <c r="AY51" t="s">
        <v>83</v>
      </c>
      <c r="AZ51">
        <v>5.0118723362727203E-3</v>
      </c>
      <c r="BA51">
        <v>5.0118723362727203E-3</v>
      </c>
      <c r="BB51" t="s">
        <v>83</v>
      </c>
      <c r="BC51" t="s">
        <v>83</v>
      </c>
      <c r="BD51" t="s">
        <v>83</v>
      </c>
      <c r="BE51" t="s">
        <v>83</v>
      </c>
      <c r="BF51" t="s">
        <v>83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83</v>
      </c>
      <c r="BM51">
        <v>0.79432823472428105</v>
      </c>
      <c r="BN51" t="s">
        <v>83</v>
      </c>
      <c r="BO51" t="s">
        <v>83</v>
      </c>
      <c r="BP51">
        <v>0.80936385173309999</v>
      </c>
      <c r="BQ51">
        <v>-7</v>
      </c>
    </row>
    <row r="52" spans="1:69" x14ac:dyDescent="0.3">
      <c r="A52">
        <v>21055</v>
      </c>
      <c r="B52">
        <v>2020</v>
      </c>
      <c r="C52">
        <v>63</v>
      </c>
      <c r="D52" t="s">
        <v>127</v>
      </c>
      <c r="E52">
        <v>3</v>
      </c>
      <c r="F52" t="s">
        <v>128</v>
      </c>
      <c r="G52">
        <v>6</v>
      </c>
      <c r="H52">
        <v>4</v>
      </c>
      <c r="I52">
        <v>4</v>
      </c>
      <c r="J52">
        <v>4</v>
      </c>
      <c r="K52">
        <v>100</v>
      </c>
      <c r="L52" t="s">
        <v>83</v>
      </c>
      <c r="M52" t="s">
        <v>83</v>
      </c>
      <c r="N52" t="s">
        <v>83</v>
      </c>
      <c r="O52" t="s">
        <v>83</v>
      </c>
      <c r="P52" t="s">
        <v>83</v>
      </c>
      <c r="Q52" t="s">
        <v>83</v>
      </c>
      <c r="R52">
        <v>-1.4</v>
      </c>
      <c r="S52" t="s">
        <v>83</v>
      </c>
      <c r="T52" t="s">
        <v>83</v>
      </c>
      <c r="U52" t="s">
        <v>83</v>
      </c>
      <c r="V52" t="s">
        <v>83</v>
      </c>
      <c r="W52" t="s">
        <v>83</v>
      </c>
      <c r="X52" t="s">
        <v>83</v>
      </c>
      <c r="Y52" t="s">
        <v>83</v>
      </c>
      <c r="Z52" t="s">
        <v>83</v>
      </c>
      <c r="AA52" t="s">
        <v>83</v>
      </c>
      <c r="AB52" t="s">
        <v>83</v>
      </c>
      <c r="AC52" t="s">
        <v>83</v>
      </c>
      <c r="AD52">
        <v>0.9</v>
      </c>
      <c r="AE52" t="s">
        <v>83</v>
      </c>
      <c r="AF52" t="s">
        <v>83</v>
      </c>
      <c r="AG52" t="s">
        <v>83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2</v>
      </c>
      <c r="AQ52">
        <v>0</v>
      </c>
      <c r="AR52">
        <v>1.5285784534320099</v>
      </c>
      <c r="AS52" t="s">
        <v>83</v>
      </c>
      <c r="AT52">
        <v>-0.48271409081760103</v>
      </c>
      <c r="AU52" t="s">
        <v>83</v>
      </c>
      <c r="AV52" t="s">
        <v>83</v>
      </c>
      <c r="AW52" t="s">
        <v>83</v>
      </c>
      <c r="AX52" t="s">
        <v>83</v>
      </c>
      <c r="AY52" t="s">
        <v>83</v>
      </c>
      <c r="AZ52">
        <v>3.9810717055349699E-2</v>
      </c>
      <c r="BA52" t="s">
        <v>83</v>
      </c>
      <c r="BB52" t="s">
        <v>83</v>
      </c>
      <c r="BC52" t="s">
        <v>83</v>
      </c>
      <c r="BD52" t="s">
        <v>83</v>
      </c>
      <c r="BE52" t="s">
        <v>83</v>
      </c>
      <c r="BF52" t="s">
        <v>83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83</v>
      </c>
      <c r="BM52">
        <v>7.9432823472428202</v>
      </c>
      <c r="BN52" t="s">
        <v>83</v>
      </c>
      <c r="BO52" t="s">
        <v>83</v>
      </c>
      <c r="BP52">
        <v>7.9830930642981697</v>
      </c>
      <c r="BQ52">
        <v>-0.5</v>
      </c>
    </row>
    <row r="53" spans="1:69" x14ac:dyDescent="0.3">
      <c r="A53">
        <v>21056</v>
      </c>
      <c r="B53">
        <v>2020</v>
      </c>
      <c r="C53">
        <v>113</v>
      </c>
      <c r="D53" t="s">
        <v>130</v>
      </c>
      <c r="E53">
        <v>3</v>
      </c>
      <c r="F53" t="s">
        <v>131</v>
      </c>
      <c r="G53">
        <v>12</v>
      </c>
      <c r="H53">
        <v>3</v>
      </c>
      <c r="I53">
        <v>3</v>
      </c>
      <c r="J53">
        <v>5</v>
      </c>
      <c r="K53">
        <v>60</v>
      </c>
      <c r="L53" t="s">
        <v>83</v>
      </c>
      <c r="M53" t="s">
        <v>83</v>
      </c>
      <c r="N53" t="s">
        <v>83</v>
      </c>
      <c r="O53" t="s">
        <v>83</v>
      </c>
      <c r="P53" t="s">
        <v>83</v>
      </c>
      <c r="Q53" t="s">
        <v>83</v>
      </c>
      <c r="R53">
        <v>-1.8</v>
      </c>
      <c r="S53" t="s">
        <v>83</v>
      </c>
      <c r="T53" t="s">
        <v>83</v>
      </c>
      <c r="U53" t="s">
        <v>83</v>
      </c>
      <c r="V53" t="s">
        <v>83</v>
      </c>
      <c r="W53" t="s">
        <v>83</v>
      </c>
      <c r="X53" t="s">
        <v>83</v>
      </c>
      <c r="Y53" t="s">
        <v>83</v>
      </c>
      <c r="Z53" t="s">
        <v>83</v>
      </c>
      <c r="AA53" t="s">
        <v>83</v>
      </c>
      <c r="AB53">
        <v>-1.4</v>
      </c>
      <c r="AC53" t="s">
        <v>83</v>
      </c>
      <c r="AD53">
        <v>1.3</v>
      </c>
      <c r="AE53" t="s">
        <v>83</v>
      </c>
      <c r="AF53" t="s">
        <v>83</v>
      </c>
      <c r="AG53" t="s">
        <v>83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3</v>
      </c>
      <c r="AQ53">
        <v>1</v>
      </c>
      <c r="AR53">
        <v>0.14046396599104899</v>
      </c>
      <c r="AS53" t="s">
        <v>83</v>
      </c>
      <c r="AT53">
        <v>0.85725369863270295</v>
      </c>
      <c r="AU53" t="s">
        <v>83</v>
      </c>
      <c r="AV53" t="s">
        <v>83</v>
      </c>
      <c r="AW53" t="s">
        <v>83</v>
      </c>
      <c r="AX53" t="s">
        <v>83</v>
      </c>
      <c r="AY53" t="s">
        <v>83</v>
      </c>
      <c r="AZ53">
        <v>1.58489319246111E-2</v>
      </c>
      <c r="BA53" t="s">
        <v>83</v>
      </c>
      <c r="BB53" t="s">
        <v>83</v>
      </c>
      <c r="BC53" t="s">
        <v>83</v>
      </c>
      <c r="BD53" t="s">
        <v>83</v>
      </c>
      <c r="BE53" t="s">
        <v>83</v>
      </c>
      <c r="BF53" t="s">
        <v>83</v>
      </c>
      <c r="BG53" t="s">
        <v>83</v>
      </c>
      <c r="BH53" t="s">
        <v>83</v>
      </c>
      <c r="BI53" t="s">
        <v>83</v>
      </c>
      <c r="BJ53">
        <v>3.9810717055349699E-2</v>
      </c>
      <c r="BK53" t="s">
        <v>83</v>
      </c>
      <c r="BL53" t="s">
        <v>83</v>
      </c>
      <c r="BM53">
        <v>19.952623149688801</v>
      </c>
      <c r="BN53" t="s">
        <v>83</v>
      </c>
      <c r="BO53" t="s">
        <v>83</v>
      </c>
      <c r="BP53">
        <v>20.008282798668802</v>
      </c>
      <c r="BQ53">
        <v>-1.9</v>
      </c>
    </row>
    <row r="54" spans="1:69" x14ac:dyDescent="0.3">
      <c r="A54">
        <v>21230</v>
      </c>
      <c r="B54">
        <v>2021</v>
      </c>
      <c r="C54">
        <v>213</v>
      </c>
      <c r="D54">
        <v>34</v>
      </c>
      <c r="E54">
        <v>1</v>
      </c>
      <c r="F54" t="s">
        <v>90</v>
      </c>
      <c r="G54">
        <v>11</v>
      </c>
      <c r="H54">
        <v>4</v>
      </c>
      <c r="I54">
        <v>4</v>
      </c>
      <c r="J54">
        <v>5</v>
      </c>
      <c r="K54">
        <v>80</v>
      </c>
      <c r="L54">
        <v>5.5556000000000001E-2</v>
      </c>
      <c r="M54" t="s">
        <v>83</v>
      </c>
      <c r="N54" t="s">
        <v>83</v>
      </c>
      <c r="O54" t="s">
        <v>83</v>
      </c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83</v>
      </c>
      <c r="V54" t="s">
        <v>83</v>
      </c>
      <c r="W54" t="s">
        <v>83</v>
      </c>
      <c r="X54" t="s">
        <v>83</v>
      </c>
      <c r="Y54" t="s">
        <v>83</v>
      </c>
      <c r="Z54" t="s">
        <v>83</v>
      </c>
      <c r="AA54" t="s">
        <v>83</v>
      </c>
      <c r="AB54" t="s">
        <v>83</v>
      </c>
      <c r="AC54" t="s">
        <v>83</v>
      </c>
      <c r="AD54">
        <v>0.9</v>
      </c>
      <c r="AE54" t="s">
        <v>83</v>
      </c>
      <c r="AF54" t="s">
        <v>83</v>
      </c>
      <c r="AG54" t="s">
        <v>83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0.83452120971152799</v>
      </c>
      <c r="AS54">
        <v>-0.71121196486504301</v>
      </c>
      <c r="AT54">
        <v>0.63392573372431904</v>
      </c>
      <c r="AU54" t="s">
        <v>83</v>
      </c>
      <c r="AV54" t="s">
        <v>83</v>
      </c>
      <c r="AW54" t="s">
        <v>83</v>
      </c>
      <c r="AX54" t="s">
        <v>83</v>
      </c>
      <c r="AY54" t="s">
        <v>83</v>
      </c>
      <c r="AZ54" t="s">
        <v>83</v>
      </c>
      <c r="BA54" t="s">
        <v>83</v>
      </c>
      <c r="BB54" t="s">
        <v>83</v>
      </c>
      <c r="BC54" t="s">
        <v>83</v>
      </c>
      <c r="BD54" t="s">
        <v>83</v>
      </c>
      <c r="BE54" t="s">
        <v>83</v>
      </c>
      <c r="BF54" t="s">
        <v>83</v>
      </c>
      <c r="BG54" t="s">
        <v>83</v>
      </c>
      <c r="BH54" t="s">
        <v>83</v>
      </c>
      <c r="BI54" t="s">
        <v>83</v>
      </c>
      <c r="BJ54" t="s">
        <v>83</v>
      </c>
      <c r="BK54" t="s">
        <v>83</v>
      </c>
      <c r="BL54" t="s">
        <v>83</v>
      </c>
      <c r="BM54">
        <v>7.9432823472428202</v>
      </c>
      <c r="BN54" t="s">
        <v>83</v>
      </c>
      <c r="BO54" t="s">
        <v>83</v>
      </c>
      <c r="BP54">
        <v>7.9432823472428202</v>
      </c>
      <c r="BQ54">
        <v>0.9</v>
      </c>
    </row>
    <row r="55" spans="1:69" x14ac:dyDescent="0.3">
      <c r="A55">
        <v>21231</v>
      </c>
      <c r="B55">
        <v>2021</v>
      </c>
      <c r="C55">
        <v>267</v>
      </c>
      <c r="D55">
        <v>12</v>
      </c>
      <c r="E55">
        <v>1</v>
      </c>
      <c r="F55" t="s">
        <v>85</v>
      </c>
      <c r="G55" t="s">
        <v>83</v>
      </c>
      <c r="H55">
        <v>3</v>
      </c>
      <c r="I55">
        <v>3</v>
      </c>
      <c r="J55">
        <v>3</v>
      </c>
      <c r="K55">
        <v>100</v>
      </c>
      <c r="L55">
        <v>0</v>
      </c>
      <c r="M55" t="s">
        <v>83</v>
      </c>
      <c r="N55" t="s">
        <v>83</v>
      </c>
      <c r="O55">
        <v>-3.2</v>
      </c>
      <c r="P55">
        <v>-1.9</v>
      </c>
      <c r="Q55">
        <v>-4.2</v>
      </c>
      <c r="R55">
        <v>-3.1</v>
      </c>
      <c r="S55">
        <v>-1</v>
      </c>
      <c r="T55" t="s">
        <v>83</v>
      </c>
      <c r="U55" t="s">
        <v>83</v>
      </c>
      <c r="V55" t="s">
        <v>83</v>
      </c>
      <c r="W55">
        <v>-3</v>
      </c>
      <c r="X55" t="s">
        <v>83</v>
      </c>
      <c r="Y55" t="s">
        <v>83</v>
      </c>
      <c r="Z55" t="s">
        <v>83</v>
      </c>
      <c r="AA55">
        <v>-2.4</v>
      </c>
      <c r="AB55" t="s">
        <v>83</v>
      </c>
      <c r="AC55" t="s">
        <v>83</v>
      </c>
      <c r="AD55">
        <v>-1.3</v>
      </c>
      <c r="AE55" t="s">
        <v>83</v>
      </c>
      <c r="AF55" t="s">
        <v>83</v>
      </c>
      <c r="AG55" t="s">
        <v>83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4</v>
      </c>
      <c r="AQ55">
        <v>1</v>
      </c>
      <c r="AR55">
        <v>1.5285784534320099</v>
      </c>
      <c r="AS55">
        <v>-1.18819828996463</v>
      </c>
      <c r="AT55" t="s">
        <v>83</v>
      </c>
      <c r="AU55" t="s">
        <v>83</v>
      </c>
      <c r="AV55" t="s">
        <v>83</v>
      </c>
      <c r="AW55">
        <v>6.3095734448019298E-4</v>
      </c>
      <c r="AX55">
        <v>1.2589254117941699E-2</v>
      </c>
      <c r="AY55" s="1" t="s">
        <v>89</v>
      </c>
      <c r="AZ55">
        <v>7.9432823472428099E-4</v>
      </c>
      <c r="BA55">
        <v>0.1</v>
      </c>
      <c r="BB55" t="s">
        <v>83</v>
      </c>
      <c r="BC55" t="s">
        <v>83</v>
      </c>
      <c r="BD55" t="s">
        <v>83</v>
      </c>
      <c r="BE55">
        <v>1E-3</v>
      </c>
      <c r="BF55" t="s">
        <v>83</v>
      </c>
      <c r="BG55" t="s">
        <v>83</v>
      </c>
      <c r="BH55" t="s">
        <v>83</v>
      </c>
      <c r="BI55">
        <v>3.9810717055349699E-3</v>
      </c>
      <c r="BJ55" t="s">
        <v>83</v>
      </c>
      <c r="BK55" t="s">
        <v>83</v>
      </c>
      <c r="BL55" t="s">
        <v>83</v>
      </c>
      <c r="BM55">
        <v>5.0118723362727199E-2</v>
      </c>
      <c r="BN55" t="s">
        <v>83</v>
      </c>
      <c r="BO55" t="s">
        <v>83</v>
      </c>
      <c r="BP55">
        <v>0.16917743049985601</v>
      </c>
      <c r="BQ55">
        <v>-20.100000000000001</v>
      </c>
    </row>
    <row r="56" spans="1:69" x14ac:dyDescent="0.3">
      <c r="A56">
        <v>21232</v>
      </c>
      <c r="B56">
        <v>2021</v>
      </c>
      <c r="C56">
        <v>215</v>
      </c>
      <c r="D56">
        <v>147</v>
      </c>
      <c r="E56">
        <v>1</v>
      </c>
      <c r="F56" t="s">
        <v>98</v>
      </c>
      <c r="G56">
        <v>4</v>
      </c>
      <c r="H56">
        <v>1</v>
      </c>
      <c r="I56">
        <v>1</v>
      </c>
      <c r="J56">
        <v>3</v>
      </c>
      <c r="K56">
        <v>33</v>
      </c>
      <c r="L56">
        <v>0</v>
      </c>
      <c r="M56">
        <v>-4.4000000000000004</v>
      </c>
      <c r="N56">
        <v>-4.0999999999999996</v>
      </c>
      <c r="O56" t="s">
        <v>83</v>
      </c>
      <c r="P56">
        <v>-2.6</v>
      </c>
      <c r="Q56" t="s">
        <v>83</v>
      </c>
      <c r="R56">
        <v>-5</v>
      </c>
      <c r="S56">
        <v>-1.5</v>
      </c>
      <c r="T56" t="s">
        <v>83</v>
      </c>
      <c r="U56" t="s">
        <v>83</v>
      </c>
      <c r="V56" t="s">
        <v>83</v>
      </c>
      <c r="W56">
        <v>-3.3</v>
      </c>
      <c r="X56">
        <v>-3.7</v>
      </c>
      <c r="Y56" t="s">
        <v>83</v>
      </c>
      <c r="Z56" t="s">
        <v>83</v>
      </c>
      <c r="AA56">
        <v>-2.2999999999999998</v>
      </c>
      <c r="AB56" t="s">
        <v>83</v>
      </c>
      <c r="AC56" t="s">
        <v>83</v>
      </c>
      <c r="AD56">
        <v>-2.1</v>
      </c>
      <c r="AE56" t="s">
        <v>83</v>
      </c>
      <c r="AF56" t="s">
        <v>83</v>
      </c>
      <c r="AG56" t="s">
        <v>83</v>
      </c>
      <c r="AH56">
        <v>1</v>
      </c>
      <c r="AI56">
        <v>0</v>
      </c>
      <c r="AJ56">
        <v>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4</v>
      </c>
      <c r="AQ56">
        <v>1</v>
      </c>
      <c r="AR56">
        <v>-0.796513313031597</v>
      </c>
      <c r="AS56">
        <v>-1.18819828996463</v>
      </c>
      <c r="AT56">
        <v>-0.92937002063436902</v>
      </c>
      <c r="AU56" s="1" t="s">
        <v>88</v>
      </c>
      <c r="AV56" s="1" t="s">
        <v>87</v>
      </c>
      <c r="AW56" t="s">
        <v>83</v>
      </c>
      <c r="AX56">
        <v>2.5118864315095799E-3</v>
      </c>
      <c r="AY56" t="s">
        <v>83</v>
      </c>
      <c r="AZ56" s="1" t="s">
        <v>97</v>
      </c>
      <c r="BA56">
        <v>3.1622776601683798E-2</v>
      </c>
      <c r="BB56" t="s">
        <v>83</v>
      </c>
      <c r="BC56" t="s">
        <v>83</v>
      </c>
      <c r="BD56" t="s">
        <v>83</v>
      </c>
      <c r="BE56">
        <v>5.0118723362727296E-4</v>
      </c>
      <c r="BF56">
        <v>1.9952623149688801E-4</v>
      </c>
      <c r="BG56" t="s">
        <v>83</v>
      </c>
      <c r="BH56" t="s">
        <v>83</v>
      </c>
      <c r="BI56">
        <v>5.0118723362727203E-3</v>
      </c>
      <c r="BJ56" t="s">
        <v>83</v>
      </c>
      <c r="BK56" t="s">
        <v>83</v>
      </c>
      <c r="BL56" t="s">
        <v>83</v>
      </c>
      <c r="BM56">
        <v>7.9432823472428103E-3</v>
      </c>
      <c r="BN56" t="s">
        <v>83</v>
      </c>
      <c r="BO56" t="s">
        <v>83</v>
      </c>
      <c r="BP56">
        <v>4.7919774722360899E-2</v>
      </c>
      <c r="BQ56">
        <v>-29</v>
      </c>
    </row>
    <row r="57" spans="1:69" x14ac:dyDescent="0.3">
      <c r="A57">
        <v>21233</v>
      </c>
      <c r="B57">
        <v>2021</v>
      </c>
      <c r="C57">
        <v>269</v>
      </c>
      <c r="D57">
        <v>911</v>
      </c>
      <c r="E57">
        <v>1</v>
      </c>
      <c r="F57" t="s">
        <v>118</v>
      </c>
      <c r="G57">
        <v>6</v>
      </c>
      <c r="H57">
        <v>1</v>
      </c>
      <c r="I57">
        <v>1</v>
      </c>
      <c r="J57">
        <v>4</v>
      </c>
      <c r="K57">
        <v>25</v>
      </c>
      <c r="L57">
        <v>0.27777800000000002</v>
      </c>
      <c r="M57" t="s">
        <v>83</v>
      </c>
      <c r="N57" t="s">
        <v>83</v>
      </c>
      <c r="O57" t="s">
        <v>83</v>
      </c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83</v>
      </c>
      <c r="V57" t="s">
        <v>83</v>
      </c>
      <c r="W57" t="s">
        <v>83</v>
      </c>
      <c r="X57">
        <v>-0.6</v>
      </c>
      <c r="Y57" t="s">
        <v>83</v>
      </c>
      <c r="Z57" t="s">
        <v>83</v>
      </c>
      <c r="AA57" t="s">
        <v>83</v>
      </c>
      <c r="AB57" t="s">
        <v>83</v>
      </c>
      <c r="AC57" t="s">
        <v>83</v>
      </c>
      <c r="AD57">
        <v>0.1</v>
      </c>
      <c r="AE57" t="s">
        <v>83</v>
      </c>
      <c r="AF57" t="s">
        <v>83</v>
      </c>
      <c r="AG57" t="s">
        <v>83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2</v>
      </c>
      <c r="AQ57">
        <v>0</v>
      </c>
      <c r="AR57">
        <v>-1.07413621051979</v>
      </c>
      <c r="AS57">
        <v>1.19671616416297</v>
      </c>
      <c r="AT57">
        <v>-0.48271409081760103</v>
      </c>
      <c r="AU57" t="s">
        <v>83</v>
      </c>
      <c r="AV57" t="s">
        <v>83</v>
      </c>
      <c r="AW57" t="s">
        <v>83</v>
      </c>
      <c r="AX57" t="s">
        <v>83</v>
      </c>
      <c r="AY57" t="s">
        <v>83</v>
      </c>
      <c r="AZ57" t="s">
        <v>83</v>
      </c>
      <c r="BA57" t="s">
        <v>83</v>
      </c>
      <c r="BB57" t="s">
        <v>83</v>
      </c>
      <c r="BC57" t="s">
        <v>83</v>
      </c>
      <c r="BD57" t="s">
        <v>83</v>
      </c>
      <c r="BE57" t="s">
        <v>83</v>
      </c>
      <c r="BF57">
        <v>0.25118864315095801</v>
      </c>
      <c r="BG57" t="s">
        <v>83</v>
      </c>
      <c r="BH57" t="s">
        <v>83</v>
      </c>
      <c r="BI57" t="s">
        <v>83</v>
      </c>
      <c r="BJ57" t="s">
        <v>83</v>
      </c>
      <c r="BK57" t="s">
        <v>83</v>
      </c>
      <c r="BL57" t="s">
        <v>83</v>
      </c>
      <c r="BM57">
        <v>1.2589254117941699</v>
      </c>
      <c r="BN57" t="s">
        <v>83</v>
      </c>
      <c r="BO57" t="s">
        <v>83</v>
      </c>
      <c r="BP57">
        <v>1.51011405494513</v>
      </c>
      <c r="BQ57">
        <v>-0.5</v>
      </c>
    </row>
    <row r="58" spans="1:69" x14ac:dyDescent="0.3">
      <c r="A58">
        <v>21234</v>
      </c>
      <c r="B58">
        <v>2021</v>
      </c>
      <c r="C58">
        <v>203</v>
      </c>
      <c r="D58">
        <v>160</v>
      </c>
      <c r="E58">
        <v>1</v>
      </c>
      <c r="F58" t="s">
        <v>83</v>
      </c>
      <c r="G58" t="s">
        <v>83</v>
      </c>
      <c r="H58">
        <v>0</v>
      </c>
      <c r="I58">
        <v>0</v>
      </c>
      <c r="J58">
        <v>4</v>
      </c>
      <c r="K58">
        <v>0</v>
      </c>
      <c r="L58" t="s">
        <v>83</v>
      </c>
      <c r="M58" t="s">
        <v>83</v>
      </c>
      <c r="N58" t="s">
        <v>83</v>
      </c>
      <c r="O58">
        <v>-1.4</v>
      </c>
      <c r="P58">
        <v>-2.8</v>
      </c>
      <c r="Q58" t="s">
        <v>83</v>
      </c>
      <c r="R58">
        <v>-2.4</v>
      </c>
      <c r="S58">
        <v>-1.3</v>
      </c>
      <c r="T58" t="s">
        <v>83</v>
      </c>
      <c r="U58" t="s">
        <v>83</v>
      </c>
      <c r="V58">
        <v>-3.4</v>
      </c>
      <c r="W58">
        <v>-2.9</v>
      </c>
      <c r="X58" t="s">
        <v>83</v>
      </c>
      <c r="Y58" t="s">
        <v>83</v>
      </c>
      <c r="Z58" t="s">
        <v>83</v>
      </c>
      <c r="AA58">
        <v>-1.8</v>
      </c>
      <c r="AB58" t="s">
        <v>83</v>
      </c>
      <c r="AC58" t="s">
        <v>83</v>
      </c>
      <c r="AD58">
        <v>-2.6</v>
      </c>
      <c r="AE58" t="s">
        <v>83</v>
      </c>
      <c r="AF58" t="s">
        <v>83</v>
      </c>
      <c r="AG58" t="s">
        <v>83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5</v>
      </c>
      <c r="AQ58">
        <v>1</v>
      </c>
      <c r="AR58">
        <v>-1.94170776517039</v>
      </c>
      <c r="AS58" t="s">
        <v>83</v>
      </c>
      <c r="AT58" t="s">
        <v>83</v>
      </c>
      <c r="AU58" t="s">
        <v>83</v>
      </c>
      <c r="AV58" t="s">
        <v>83</v>
      </c>
      <c r="AW58">
        <v>3.9810717055349699E-2</v>
      </c>
      <c r="AX58">
        <v>1.58489319246111E-3</v>
      </c>
      <c r="AY58" t="s">
        <v>83</v>
      </c>
      <c r="AZ58">
        <v>3.9810717055349699E-3</v>
      </c>
      <c r="BA58">
        <v>5.0118723362727199E-2</v>
      </c>
      <c r="BB58" t="s">
        <v>83</v>
      </c>
      <c r="BC58" t="s">
        <v>83</v>
      </c>
      <c r="BD58">
        <v>3.9810717055349703E-4</v>
      </c>
      <c r="BE58">
        <v>1.2589254117941701E-3</v>
      </c>
      <c r="BF58" t="s">
        <v>83</v>
      </c>
      <c r="BG58" t="s">
        <v>83</v>
      </c>
      <c r="BH58" t="s">
        <v>83</v>
      </c>
      <c r="BI58">
        <v>1.58489319246111E-2</v>
      </c>
      <c r="BJ58" t="s">
        <v>83</v>
      </c>
      <c r="BK58" t="s">
        <v>83</v>
      </c>
      <c r="BL58" t="s">
        <v>83</v>
      </c>
      <c r="BM58">
        <v>2.5118864315095799E-3</v>
      </c>
      <c r="BN58" t="s">
        <v>83</v>
      </c>
      <c r="BO58" t="s">
        <v>83</v>
      </c>
      <c r="BP58">
        <v>0.11551325625454099</v>
      </c>
      <c r="BQ58">
        <v>-18.600000000000001</v>
      </c>
    </row>
    <row r="59" spans="1:69" x14ac:dyDescent="0.3">
      <c r="A59">
        <v>21235</v>
      </c>
      <c r="B59">
        <v>2021</v>
      </c>
      <c r="C59">
        <v>207</v>
      </c>
      <c r="D59">
        <v>157</v>
      </c>
      <c r="E59">
        <v>1</v>
      </c>
      <c r="F59" t="s">
        <v>138</v>
      </c>
      <c r="G59">
        <v>10</v>
      </c>
      <c r="H59">
        <v>3</v>
      </c>
      <c r="I59">
        <v>3</v>
      </c>
      <c r="J59">
        <v>5</v>
      </c>
      <c r="K59">
        <v>60</v>
      </c>
      <c r="L59">
        <v>0.27777777999999997</v>
      </c>
      <c r="M59" t="s">
        <v>83</v>
      </c>
      <c r="N59" t="s">
        <v>83</v>
      </c>
      <c r="O59" t="s">
        <v>83</v>
      </c>
      <c r="P59" t="s">
        <v>83</v>
      </c>
      <c r="Q59" t="s">
        <v>83</v>
      </c>
      <c r="R59" t="s">
        <v>83</v>
      </c>
      <c r="S59">
        <v>-0.8</v>
      </c>
      <c r="T59" t="s">
        <v>83</v>
      </c>
      <c r="U59" t="s">
        <v>83</v>
      </c>
      <c r="V59" t="s">
        <v>83</v>
      </c>
      <c r="W59" t="s">
        <v>83</v>
      </c>
      <c r="X59" t="s">
        <v>83</v>
      </c>
      <c r="Y59" t="s">
        <v>83</v>
      </c>
      <c r="Z59" t="s">
        <v>83</v>
      </c>
      <c r="AA59" t="s">
        <v>83</v>
      </c>
      <c r="AB59" t="s">
        <v>83</v>
      </c>
      <c r="AC59" t="s">
        <v>83</v>
      </c>
      <c r="AD59">
        <v>1.6</v>
      </c>
      <c r="AE59" t="s">
        <v>83</v>
      </c>
      <c r="AF59" t="s">
        <v>83</v>
      </c>
      <c r="AG59" t="s">
        <v>83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2</v>
      </c>
      <c r="AQ59">
        <v>0</v>
      </c>
      <c r="AR59">
        <v>0.14046396599104899</v>
      </c>
      <c r="AS59">
        <v>1.19671427531223</v>
      </c>
      <c r="AT59">
        <v>0.41059776881593502</v>
      </c>
      <c r="AU59" t="s">
        <v>83</v>
      </c>
      <c r="AV59" t="s">
        <v>83</v>
      </c>
      <c r="AW59" t="s">
        <v>83</v>
      </c>
      <c r="AX59" t="s">
        <v>83</v>
      </c>
      <c r="AY59" t="s">
        <v>83</v>
      </c>
      <c r="AZ59" t="s">
        <v>83</v>
      </c>
      <c r="BA59">
        <v>0.15848931924611101</v>
      </c>
      <c r="BB59" t="s">
        <v>83</v>
      </c>
      <c r="BC59" t="s">
        <v>83</v>
      </c>
      <c r="BD59" t="s">
        <v>83</v>
      </c>
      <c r="BE59" t="s">
        <v>83</v>
      </c>
      <c r="BF59" t="s">
        <v>83</v>
      </c>
      <c r="BG59" t="s">
        <v>83</v>
      </c>
      <c r="BH59" t="s">
        <v>83</v>
      </c>
      <c r="BI59" t="s">
        <v>83</v>
      </c>
      <c r="BJ59" t="s">
        <v>83</v>
      </c>
      <c r="BK59" t="s">
        <v>83</v>
      </c>
      <c r="BL59" t="s">
        <v>83</v>
      </c>
      <c r="BM59">
        <v>39.810717055349699</v>
      </c>
      <c r="BN59" t="s">
        <v>83</v>
      </c>
      <c r="BO59" t="s">
        <v>83</v>
      </c>
      <c r="BP59">
        <v>39.9692063745958</v>
      </c>
      <c r="BQ59">
        <v>0.8</v>
      </c>
    </row>
    <row r="60" spans="1:69" x14ac:dyDescent="0.3">
      <c r="A60">
        <v>21236</v>
      </c>
      <c r="B60">
        <v>2021</v>
      </c>
      <c r="C60">
        <v>265</v>
      </c>
      <c r="D60">
        <v>1908</v>
      </c>
      <c r="E60">
        <v>1</v>
      </c>
      <c r="F60" t="s">
        <v>139</v>
      </c>
      <c r="G60">
        <v>13.5</v>
      </c>
      <c r="H60">
        <v>3</v>
      </c>
      <c r="I60">
        <v>5</v>
      </c>
      <c r="J60">
        <v>5</v>
      </c>
      <c r="K60">
        <v>60</v>
      </c>
      <c r="L60">
        <v>8.3333334999999994E-2</v>
      </c>
      <c r="M60" t="s">
        <v>83</v>
      </c>
      <c r="N60">
        <v>-0.6</v>
      </c>
      <c r="O60" t="s">
        <v>83</v>
      </c>
      <c r="P60">
        <v>-1.4</v>
      </c>
      <c r="Q60" t="s">
        <v>83</v>
      </c>
      <c r="R60" t="s">
        <v>83</v>
      </c>
      <c r="S60">
        <v>-1.2</v>
      </c>
      <c r="T60" t="s">
        <v>83</v>
      </c>
      <c r="U60" t="s">
        <v>83</v>
      </c>
      <c r="V60" t="s">
        <v>83</v>
      </c>
      <c r="W60" t="s">
        <v>83</v>
      </c>
      <c r="X60">
        <v>-0.8</v>
      </c>
      <c r="Y60" t="s">
        <v>83</v>
      </c>
      <c r="Z60" t="s">
        <v>83</v>
      </c>
      <c r="AA60" t="s">
        <v>83</v>
      </c>
      <c r="AB60" t="s">
        <v>83</v>
      </c>
      <c r="AC60" t="s">
        <v>83</v>
      </c>
      <c r="AD60">
        <v>1.8</v>
      </c>
      <c r="AE60" t="s">
        <v>83</v>
      </c>
      <c r="AF60" t="s">
        <v>83</v>
      </c>
      <c r="AG60" t="s">
        <v>83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3</v>
      </c>
      <c r="AQ60">
        <v>1</v>
      </c>
      <c r="AR60">
        <v>0.14046396599104899</v>
      </c>
      <c r="AS60">
        <v>-0.47272451179588498</v>
      </c>
      <c r="AT60">
        <v>1.1922456459952799</v>
      </c>
      <c r="AU60" t="s">
        <v>83</v>
      </c>
      <c r="AV60">
        <v>0.25118864315095801</v>
      </c>
      <c r="AW60" t="s">
        <v>83</v>
      </c>
      <c r="AX60">
        <v>3.9810717055349699E-2</v>
      </c>
      <c r="AY60" t="s">
        <v>83</v>
      </c>
      <c r="AZ60" t="s">
        <v>83</v>
      </c>
      <c r="BA60">
        <v>6.3095734448019303E-2</v>
      </c>
      <c r="BB60" t="s">
        <v>83</v>
      </c>
      <c r="BC60" t="s">
        <v>83</v>
      </c>
      <c r="BD60" t="s">
        <v>83</v>
      </c>
      <c r="BE60" t="s">
        <v>83</v>
      </c>
      <c r="BF60">
        <v>0.15848931924611101</v>
      </c>
      <c r="BG60" t="s">
        <v>83</v>
      </c>
      <c r="BH60" t="s">
        <v>83</v>
      </c>
      <c r="BI60" t="s">
        <v>83</v>
      </c>
      <c r="BJ60" t="s">
        <v>83</v>
      </c>
      <c r="BK60" t="s">
        <v>83</v>
      </c>
      <c r="BL60" t="s">
        <v>83</v>
      </c>
      <c r="BM60">
        <v>63.0957344480193</v>
      </c>
      <c r="BN60" t="s">
        <v>83</v>
      </c>
      <c r="BO60" t="s">
        <v>83</v>
      </c>
      <c r="BP60">
        <v>63.608318861919798</v>
      </c>
      <c r="BQ60">
        <v>-2.2000000000000002</v>
      </c>
    </row>
    <row r="61" spans="1:69" x14ac:dyDescent="0.3">
      <c r="A61">
        <v>21237</v>
      </c>
      <c r="B61">
        <v>2021</v>
      </c>
      <c r="C61">
        <v>275</v>
      </c>
      <c r="D61">
        <v>240</v>
      </c>
      <c r="E61">
        <v>2</v>
      </c>
      <c r="F61" t="s">
        <v>83</v>
      </c>
      <c r="G61" t="s">
        <v>83</v>
      </c>
      <c r="H61">
        <v>2</v>
      </c>
      <c r="I61">
        <v>4</v>
      </c>
      <c r="J61">
        <v>5</v>
      </c>
      <c r="K61">
        <v>40</v>
      </c>
      <c r="L61" t="s">
        <v>83</v>
      </c>
      <c r="M61" t="s">
        <v>83</v>
      </c>
      <c r="N61" t="s">
        <v>83</v>
      </c>
      <c r="O61" t="s">
        <v>83</v>
      </c>
      <c r="P61" t="s">
        <v>83</v>
      </c>
      <c r="Q61" t="s">
        <v>83</v>
      </c>
      <c r="R61" t="s">
        <v>83</v>
      </c>
      <c r="S61">
        <v>-0.6</v>
      </c>
      <c r="T61" t="s">
        <v>83</v>
      </c>
      <c r="U61" t="s">
        <v>83</v>
      </c>
      <c r="V61" t="s">
        <v>83</v>
      </c>
      <c r="W61">
        <v>-1.7</v>
      </c>
      <c r="X61" t="s">
        <v>83</v>
      </c>
      <c r="Y61" t="s">
        <v>83</v>
      </c>
      <c r="Z61" t="s">
        <v>83</v>
      </c>
      <c r="AA61" t="s">
        <v>83</v>
      </c>
      <c r="AB61" t="s">
        <v>83</v>
      </c>
      <c r="AC61" t="s">
        <v>83</v>
      </c>
      <c r="AD61">
        <v>0.3</v>
      </c>
      <c r="AE61" t="s">
        <v>83</v>
      </c>
      <c r="AF61" t="s">
        <v>83</v>
      </c>
      <c r="AG61" t="s">
        <v>83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3</v>
      </c>
      <c r="AQ61">
        <v>1</v>
      </c>
      <c r="AR61">
        <v>-0.55359327772942901</v>
      </c>
      <c r="AS61" t="s">
        <v>83</v>
      </c>
      <c r="AT61" t="s">
        <v>83</v>
      </c>
      <c r="AU61" t="s">
        <v>83</v>
      </c>
      <c r="AV61" t="s">
        <v>83</v>
      </c>
      <c r="AW61" t="s">
        <v>83</v>
      </c>
      <c r="AX61" t="s">
        <v>83</v>
      </c>
      <c r="AY61" t="s">
        <v>83</v>
      </c>
      <c r="AZ61" t="s">
        <v>83</v>
      </c>
      <c r="BA61">
        <v>0.25118864315095801</v>
      </c>
      <c r="BB61" t="s">
        <v>83</v>
      </c>
      <c r="BC61" t="s">
        <v>83</v>
      </c>
      <c r="BD61" t="s">
        <v>83</v>
      </c>
      <c r="BE61">
        <v>1.9952623149688799E-2</v>
      </c>
      <c r="BF61" t="s">
        <v>83</v>
      </c>
      <c r="BG61" t="s">
        <v>83</v>
      </c>
      <c r="BH61" t="s">
        <v>83</v>
      </c>
      <c r="BI61" t="s">
        <v>83</v>
      </c>
      <c r="BJ61" t="s">
        <v>83</v>
      </c>
      <c r="BK61" t="s">
        <v>83</v>
      </c>
      <c r="BL61" t="s">
        <v>83</v>
      </c>
      <c r="BM61">
        <v>1.99526231496888</v>
      </c>
      <c r="BN61" t="s">
        <v>83</v>
      </c>
      <c r="BO61" t="s">
        <v>83</v>
      </c>
      <c r="BP61">
        <v>2.2664035812695298</v>
      </c>
      <c r="BQ61">
        <v>-2</v>
      </c>
    </row>
    <row r="62" spans="1:69" x14ac:dyDescent="0.3">
      <c r="A62">
        <v>21238</v>
      </c>
      <c r="B62">
        <v>2021</v>
      </c>
      <c r="C62">
        <v>285</v>
      </c>
      <c r="D62" t="s">
        <v>133</v>
      </c>
      <c r="E62">
        <v>1</v>
      </c>
      <c r="F62" t="s">
        <v>83</v>
      </c>
      <c r="G62" t="s">
        <v>83</v>
      </c>
      <c r="H62">
        <v>3</v>
      </c>
      <c r="I62">
        <v>3</v>
      </c>
      <c r="J62">
        <v>5</v>
      </c>
      <c r="K62">
        <v>60</v>
      </c>
      <c r="L62" t="s">
        <v>83</v>
      </c>
      <c r="M62" t="s">
        <v>83</v>
      </c>
      <c r="N62" t="s">
        <v>83</v>
      </c>
      <c r="O62" t="s">
        <v>83</v>
      </c>
      <c r="P62" t="s">
        <v>83</v>
      </c>
      <c r="Q62" t="s">
        <v>83</v>
      </c>
      <c r="R62" t="s">
        <v>83</v>
      </c>
      <c r="S62">
        <v>-1.2</v>
      </c>
      <c r="T62" t="s">
        <v>83</v>
      </c>
      <c r="U62" t="s">
        <v>83</v>
      </c>
      <c r="V62" t="s">
        <v>83</v>
      </c>
      <c r="W62" t="s">
        <v>83</v>
      </c>
      <c r="X62" t="s">
        <v>83</v>
      </c>
      <c r="Y62" t="s">
        <v>83</v>
      </c>
      <c r="Z62" t="s">
        <v>83</v>
      </c>
      <c r="AA62" t="s">
        <v>83</v>
      </c>
      <c r="AB62" t="s">
        <v>83</v>
      </c>
      <c r="AC62" t="s">
        <v>83</v>
      </c>
      <c r="AD62">
        <v>1.3</v>
      </c>
      <c r="AE62" t="s">
        <v>83</v>
      </c>
      <c r="AF62" t="s">
        <v>83</v>
      </c>
      <c r="AG62" t="s">
        <v>83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2</v>
      </c>
      <c r="AQ62">
        <v>0</v>
      </c>
      <c r="AR62">
        <v>0.14046396599104899</v>
      </c>
      <c r="AS62" t="s">
        <v>83</v>
      </c>
      <c r="AT62" t="s">
        <v>83</v>
      </c>
      <c r="AU62" t="s">
        <v>83</v>
      </c>
      <c r="AV62" t="s">
        <v>83</v>
      </c>
      <c r="AW62" t="s">
        <v>83</v>
      </c>
      <c r="AX62" t="s">
        <v>83</v>
      </c>
      <c r="AY62" t="s">
        <v>83</v>
      </c>
      <c r="AZ62" t="s">
        <v>83</v>
      </c>
      <c r="BA62">
        <v>6.3095734448019303E-2</v>
      </c>
      <c r="BB62" t="s">
        <v>83</v>
      </c>
      <c r="BC62" t="s">
        <v>83</v>
      </c>
      <c r="BD62" t="s">
        <v>83</v>
      </c>
      <c r="BE62" t="s">
        <v>83</v>
      </c>
      <c r="BF62" t="s">
        <v>83</v>
      </c>
      <c r="BG62" t="s">
        <v>83</v>
      </c>
      <c r="BH62" t="s">
        <v>83</v>
      </c>
      <c r="BI62" t="s">
        <v>83</v>
      </c>
      <c r="BJ62" t="s">
        <v>83</v>
      </c>
      <c r="BK62" t="s">
        <v>83</v>
      </c>
      <c r="BL62" t="s">
        <v>83</v>
      </c>
      <c r="BM62">
        <v>19.952623149688801</v>
      </c>
      <c r="BN62" t="s">
        <v>83</v>
      </c>
      <c r="BO62" t="s">
        <v>83</v>
      </c>
      <c r="BP62">
        <v>20.015718884136799</v>
      </c>
      <c r="BQ62">
        <v>0.1</v>
      </c>
    </row>
    <row r="63" spans="1:69" x14ac:dyDescent="0.3">
      <c r="A63">
        <v>21239</v>
      </c>
      <c r="B63">
        <v>2021</v>
      </c>
      <c r="C63">
        <v>219</v>
      </c>
      <c r="D63">
        <v>143</v>
      </c>
      <c r="E63">
        <v>1</v>
      </c>
      <c r="F63" t="s">
        <v>140</v>
      </c>
      <c r="G63">
        <v>4</v>
      </c>
      <c r="H63">
        <v>3</v>
      </c>
      <c r="I63">
        <v>3</v>
      </c>
      <c r="J63">
        <v>4</v>
      </c>
      <c r="K63">
        <v>75</v>
      </c>
      <c r="L63">
        <v>0</v>
      </c>
      <c r="M63" t="s">
        <v>83</v>
      </c>
      <c r="N63" t="s">
        <v>83</v>
      </c>
      <c r="O63" t="s">
        <v>83</v>
      </c>
      <c r="P63" t="s">
        <v>83</v>
      </c>
      <c r="Q63" t="s">
        <v>83</v>
      </c>
      <c r="R63" t="s">
        <v>83</v>
      </c>
      <c r="S63">
        <v>-1.8</v>
      </c>
      <c r="T63" t="s">
        <v>83</v>
      </c>
      <c r="U63" t="s">
        <v>83</v>
      </c>
      <c r="V63">
        <v>-2</v>
      </c>
      <c r="W63">
        <v>-3.3</v>
      </c>
      <c r="X63" t="s">
        <v>83</v>
      </c>
      <c r="Y63" t="s">
        <v>83</v>
      </c>
      <c r="Z63" t="s">
        <v>83</v>
      </c>
      <c r="AA63">
        <v>-1.8</v>
      </c>
      <c r="AB63" t="s">
        <v>83</v>
      </c>
      <c r="AC63" t="s">
        <v>83</v>
      </c>
      <c r="AD63">
        <v>-0.6</v>
      </c>
      <c r="AE63" t="s">
        <v>83</v>
      </c>
      <c r="AF63" t="s">
        <v>83</v>
      </c>
      <c r="AG63" t="s">
        <v>83</v>
      </c>
      <c r="AH63">
        <v>1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5</v>
      </c>
      <c r="AQ63">
        <v>1</v>
      </c>
      <c r="AR63">
        <v>0.66100689878140895</v>
      </c>
      <c r="AS63">
        <v>-1.18819828996463</v>
      </c>
      <c r="AT63">
        <v>-0.92937002063436902</v>
      </c>
      <c r="AU63" t="s">
        <v>83</v>
      </c>
      <c r="AV63" t="s">
        <v>83</v>
      </c>
      <c r="AW63" t="s">
        <v>83</v>
      </c>
      <c r="AX63" t="s">
        <v>83</v>
      </c>
      <c r="AY63" t="s">
        <v>83</v>
      </c>
      <c r="AZ63" t="s">
        <v>83</v>
      </c>
      <c r="BA63">
        <v>1.58489319246111E-2</v>
      </c>
      <c r="BB63" t="s">
        <v>83</v>
      </c>
      <c r="BC63" t="s">
        <v>83</v>
      </c>
      <c r="BD63">
        <v>0.01</v>
      </c>
      <c r="BE63">
        <v>5.0118723362727296E-4</v>
      </c>
      <c r="BF63" t="s">
        <v>83</v>
      </c>
      <c r="BG63" t="s">
        <v>83</v>
      </c>
      <c r="BH63" t="s">
        <v>83</v>
      </c>
      <c r="BI63">
        <v>1.58489319246111E-2</v>
      </c>
      <c r="BJ63" t="s">
        <v>83</v>
      </c>
      <c r="BK63" t="s">
        <v>83</v>
      </c>
      <c r="BL63" t="s">
        <v>83</v>
      </c>
      <c r="BM63">
        <v>0.25118864315095801</v>
      </c>
      <c r="BN63" t="s">
        <v>83</v>
      </c>
      <c r="BO63" t="s">
        <v>83</v>
      </c>
      <c r="BP63">
        <v>0.29338769423380801</v>
      </c>
      <c r="BQ63">
        <v>-9.5</v>
      </c>
    </row>
    <row r="64" spans="1:69" x14ac:dyDescent="0.3">
      <c r="A64">
        <v>21240</v>
      </c>
      <c r="B64">
        <v>2021</v>
      </c>
      <c r="C64">
        <v>235</v>
      </c>
      <c r="D64">
        <v>300</v>
      </c>
      <c r="E64">
        <v>1</v>
      </c>
      <c r="F64" t="s">
        <v>141</v>
      </c>
      <c r="G64">
        <v>5</v>
      </c>
      <c r="H64">
        <v>3</v>
      </c>
      <c r="I64">
        <v>4</v>
      </c>
      <c r="J64">
        <v>4</v>
      </c>
      <c r="K64">
        <v>75</v>
      </c>
      <c r="L64">
        <v>0.111111111</v>
      </c>
      <c r="M64" t="s">
        <v>83</v>
      </c>
      <c r="N64">
        <v>0.3</v>
      </c>
      <c r="O64">
        <v>-1.5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83</v>
      </c>
      <c r="AD64">
        <v>-0.4</v>
      </c>
      <c r="AE64" t="s">
        <v>83</v>
      </c>
      <c r="AF64" t="s">
        <v>83</v>
      </c>
      <c r="AG64" t="s">
        <v>83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2</v>
      </c>
      <c r="AQ64">
        <v>0</v>
      </c>
      <c r="AR64">
        <v>0.66100689878140895</v>
      </c>
      <c r="AS64">
        <v>-0.23423327243956901</v>
      </c>
      <c r="AT64">
        <v>-0.706042055725985</v>
      </c>
      <c r="AU64" t="s">
        <v>83</v>
      </c>
      <c r="AV64">
        <v>1.99526231496888</v>
      </c>
      <c r="AW64">
        <v>3.1622776601683798E-2</v>
      </c>
      <c r="AX64" t="s">
        <v>83</v>
      </c>
      <c r="AY64" t="s">
        <v>83</v>
      </c>
      <c r="AZ64" t="s">
        <v>83</v>
      </c>
      <c r="BA64" t="s">
        <v>83</v>
      </c>
      <c r="BB64" t="s">
        <v>83</v>
      </c>
      <c r="BC64" t="s">
        <v>83</v>
      </c>
      <c r="BD64" t="s">
        <v>83</v>
      </c>
      <c r="BE64" t="s">
        <v>83</v>
      </c>
      <c r="BF64" t="s">
        <v>83</v>
      </c>
      <c r="BG64" t="s">
        <v>83</v>
      </c>
      <c r="BH64" t="s">
        <v>83</v>
      </c>
      <c r="BI64" t="s">
        <v>83</v>
      </c>
      <c r="BJ64" t="s">
        <v>83</v>
      </c>
      <c r="BK64" t="s">
        <v>83</v>
      </c>
      <c r="BL64" t="s">
        <v>83</v>
      </c>
      <c r="BM64">
        <v>0.39810717055349698</v>
      </c>
      <c r="BN64" t="s">
        <v>83</v>
      </c>
      <c r="BO64" t="s">
        <v>83</v>
      </c>
      <c r="BP64">
        <v>2.4249922621240598</v>
      </c>
      <c r="BQ64">
        <v>-1.6</v>
      </c>
    </row>
    <row r="65" spans="1:69" x14ac:dyDescent="0.3">
      <c r="A65">
        <v>21241</v>
      </c>
      <c r="B65">
        <v>2021</v>
      </c>
      <c r="C65">
        <v>257</v>
      </c>
      <c r="D65">
        <v>1907</v>
      </c>
      <c r="E65">
        <v>1</v>
      </c>
      <c r="F65" t="s">
        <v>123</v>
      </c>
      <c r="G65">
        <v>6</v>
      </c>
      <c r="H65">
        <v>2</v>
      </c>
      <c r="I65">
        <v>3</v>
      </c>
      <c r="J65">
        <v>4</v>
      </c>
      <c r="K65">
        <v>50</v>
      </c>
      <c r="L65">
        <v>0.19444444499999999</v>
      </c>
      <c r="M65" t="s">
        <v>83</v>
      </c>
      <c r="N65" t="s">
        <v>83</v>
      </c>
      <c r="O65" t="s">
        <v>83</v>
      </c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83</v>
      </c>
      <c r="V65" t="s">
        <v>83</v>
      </c>
      <c r="W65" t="s">
        <v>83</v>
      </c>
      <c r="X65" t="s">
        <v>83</v>
      </c>
      <c r="Y65" t="s">
        <v>83</v>
      </c>
      <c r="Z65" t="s">
        <v>83</v>
      </c>
      <c r="AA65" t="s">
        <v>83</v>
      </c>
      <c r="AB65" t="s">
        <v>83</v>
      </c>
      <c r="AC65" t="s">
        <v>83</v>
      </c>
      <c r="AD65">
        <v>-1.6</v>
      </c>
      <c r="AE65" t="s">
        <v>83</v>
      </c>
      <c r="AF65" t="s">
        <v>83</v>
      </c>
      <c r="AG65" t="s">
        <v>83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-0.20656465586919001</v>
      </c>
      <c r="AS65">
        <v>0.48124049714348999</v>
      </c>
      <c r="AT65">
        <v>-0.48271409081760103</v>
      </c>
      <c r="AU65" t="s">
        <v>83</v>
      </c>
      <c r="AV65" t="s">
        <v>83</v>
      </c>
      <c r="AW65" t="s">
        <v>83</v>
      </c>
      <c r="AX65" t="s">
        <v>83</v>
      </c>
      <c r="AY65" t="s">
        <v>83</v>
      </c>
      <c r="AZ65" t="s">
        <v>83</v>
      </c>
      <c r="BA65" t="s">
        <v>83</v>
      </c>
      <c r="BB65" t="s">
        <v>83</v>
      </c>
      <c r="BC65" t="s">
        <v>83</v>
      </c>
      <c r="BD65" t="s">
        <v>83</v>
      </c>
      <c r="BE65" t="s">
        <v>83</v>
      </c>
      <c r="BF65" t="s">
        <v>83</v>
      </c>
      <c r="BG65" t="s">
        <v>83</v>
      </c>
      <c r="BH65" t="s">
        <v>83</v>
      </c>
      <c r="BI65" t="s">
        <v>83</v>
      </c>
      <c r="BJ65" t="s">
        <v>83</v>
      </c>
      <c r="BK65" t="s">
        <v>83</v>
      </c>
      <c r="BL65" t="s">
        <v>83</v>
      </c>
      <c r="BM65">
        <v>2.5118864315095801E-2</v>
      </c>
      <c r="BN65" t="s">
        <v>83</v>
      </c>
      <c r="BO65" t="s">
        <v>83</v>
      </c>
      <c r="BP65">
        <v>2.5118864315095801E-2</v>
      </c>
      <c r="BQ65">
        <v>-1.6</v>
      </c>
    </row>
    <row r="66" spans="1:69" x14ac:dyDescent="0.3">
      <c r="A66">
        <v>21242</v>
      </c>
      <c r="B66">
        <v>2021</v>
      </c>
      <c r="C66">
        <v>217</v>
      </c>
      <c r="D66">
        <v>109</v>
      </c>
      <c r="E66">
        <v>1</v>
      </c>
      <c r="F66" t="s">
        <v>95</v>
      </c>
      <c r="G66">
        <v>6</v>
      </c>
      <c r="H66">
        <v>2</v>
      </c>
      <c r="I66">
        <v>2</v>
      </c>
      <c r="J66">
        <v>5</v>
      </c>
      <c r="K66">
        <v>40</v>
      </c>
      <c r="L66">
        <v>0.222222</v>
      </c>
      <c r="M66" t="s">
        <v>83</v>
      </c>
      <c r="N66" t="s">
        <v>83</v>
      </c>
      <c r="O66">
        <v>-1.5</v>
      </c>
      <c r="P66">
        <v>-0.8</v>
      </c>
      <c r="Q66" t="s">
        <v>83</v>
      </c>
      <c r="R66">
        <v>-1.6</v>
      </c>
      <c r="S66" t="s">
        <v>83</v>
      </c>
      <c r="T66" t="s">
        <v>83</v>
      </c>
      <c r="U66" t="s">
        <v>83</v>
      </c>
      <c r="V66" t="s">
        <v>83</v>
      </c>
      <c r="W66">
        <v>-1.7</v>
      </c>
      <c r="X66" t="s">
        <v>83</v>
      </c>
      <c r="Y66" t="s">
        <v>83</v>
      </c>
      <c r="Z66" t="s">
        <v>83</v>
      </c>
      <c r="AA66" t="s">
        <v>83</v>
      </c>
      <c r="AB66" t="s">
        <v>83</v>
      </c>
      <c r="AC66" t="s">
        <v>83</v>
      </c>
      <c r="AD66">
        <v>0.1</v>
      </c>
      <c r="AE66" t="s">
        <v>83</v>
      </c>
      <c r="AF66" t="s">
        <v>83</v>
      </c>
      <c r="AG66" t="s">
        <v>83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3</v>
      </c>
      <c r="AQ66">
        <v>1</v>
      </c>
      <c r="AR66">
        <v>-0.55359327772942901</v>
      </c>
      <c r="AS66">
        <v>0.71972983906338395</v>
      </c>
      <c r="AT66">
        <v>-0.48271409081760103</v>
      </c>
      <c r="AU66" t="s">
        <v>83</v>
      </c>
      <c r="AV66" t="s">
        <v>83</v>
      </c>
      <c r="AW66">
        <v>3.1622776601683798E-2</v>
      </c>
      <c r="AX66">
        <v>0.15848931924611101</v>
      </c>
      <c r="AY66" t="s">
        <v>83</v>
      </c>
      <c r="AZ66">
        <v>2.5118864315095801E-2</v>
      </c>
      <c r="BA66" t="s">
        <v>83</v>
      </c>
      <c r="BB66" t="s">
        <v>83</v>
      </c>
      <c r="BC66" t="s">
        <v>83</v>
      </c>
      <c r="BD66" t="s">
        <v>83</v>
      </c>
      <c r="BE66">
        <v>1.9952623149688799E-2</v>
      </c>
      <c r="BF66" t="s">
        <v>83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83</v>
      </c>
      <c r="BM66">
        <v>1.2589254117941699</v>
      </c>
      <c r="BN66" t="s">
        <v>83</v>
      </c>
      <c r="BO66" t="s">
        <v>83</v>
      </c>
      <c r="BP66">
        <v>1.4941089951067501</v>
      </c>
      <c r="BQ66">
        <v>-5.5</v>
      </c>
    </row>
    <row r="67" spans="1:69" x14ac:dyDescent="0.3">
      <c r="A67">
        <v>21243</v>
      </c>
      <c r="B67">
        <v>2021</v>
      </c>
      <c r="C67">
        <v>259</v>
      </c>
      <c r="D67">
        <v>236</v>
      </c>
      <c r="E67">
        <v>2</v>
      </c>
      <c r="F67" t="s">
        <v>105</v>
      </c>
      <c r="G67">
        <v>8</v>
      </c>
      <c r="H67">
        <v>2</v>
      </c>
      <c r="I67">
        <v>3</v>
      </c>
      <c r="J67">
        <v>5</v>
      </c>
      <c r="K67">
        <v>40</v>
      </c>
      <c r="L67">
        <v>0.16666700000000001</v>
      </c>
      <c r="M67" t="s">
        <v>83</v>
      </c>
      <c r="N67" t="s">
        <v>83</v>
      </c>
      <c r="O67" t="s">
        <v>83</v>
      </c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83</v>
      </c>
      <c r="V67" t="s">
        <v>83</v>
      </c>
      <c r="W67" t="s">
        <v>83</v>
      </c>
      <c r="X67" t="s">
        <v>83</v>
      </c>
      <c r="Y67" t="s">
        <v>83</v>
      </c>
      <c r="Z67" t="s">
        <v>83</v>
      </c>
      <c r="AA67" t="s">
        <v>83</v>
      </c>
      <c r="AB67" t="s">
        <v>83</v>
      </c>
      <c r="AC67" t="s">
        <v>83</v>
      </c>
      <c r="AD67">
        <v>1.8</v>
      </c>
      <c r="AE67" t="s">
        <v>83</v>
      </c>
      <c r="AF67" t="s">
        <v>83</v>
      </c>
      <c r="AG67" t="s">
        <v>83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0</v>
      </c>
      <c r="AR67">
        <v>-0.55359327772942901</v>
      </c>
      <c r="AS67">
        <v>0.24275209964896399</v>
      </c>
      <c r="AT67">
        <v>-3.6058161000832999E-2</v>
      </c>
      <c r="AU67" t="s">
        <v>83</v>
      </c>
      <c r="AV67" t="s">
        <v>83</v>
      </c>
      <c r="AW67" t="s">
        <v>83</v>
      </c>
      <c r="AX67" t="s">
        <v>83</v>
      </c>
      <c r="AY67" t="s">
        <v>83</v>
      </c>
      <c r="AZ67" t="s">
        <v>83</v>
      </c>
      <c r="BA67" t="s">
        <v>83</v>
      </c>
      <c r="BB67" t="s">
        <v>83</v>
      </c>
      <c r="BC67" t="s">
        <v>83</v>
      </c>
      <c r="BD67" t="s">
        <v>83</v>
      </c>
      <c r="BE67" t="s">
        <v>83</v>
      </c>
      <c r="BF67" t="s">
        <v>83</v>
      </c>
      <c r="BG67" t="s">
        <v>83</v>
      </c>
      <c r="BH67" t="s">
        <v>83</v>
      </c>
      <c r="BI67" t="s">
        <v>83</v>
      </c>
      <c r="BJ67" t="s">
        <v>83</v>
      </c>
      <c r="BK67" t="s">
        <v>83</v>
      </c>
      <c r="BL67" t="s">
        <v>83</v>
      </c>
      <c r="BM67">
        <v>63.0957344480193</v>
      </c>
      <c r="BN67" t="s">
        <v>83</v>
      </c>
      <c r="BO67" t="s">
        <v>83</v>
      </c>
      <c r="BP67">
        <v>63.0957344480193</v>
      </c>
      <c r="BQ67">
        <v>1.8</v>
      </c>
    </row>
    <row r="68" spans="1:69" x14ac:dyDescent="0.3">
      <c r="A68">
        <v>21244</v>
      </c>
      <c r="B68">
        <v>2021</v>
      </c>
      <c r="C68">
        <v>237</v>
      </c>
      <c r="D68">
        <v>952</v>
      </c>
      <c r="E68">
        <v>1</v>
      </c>
      <c r="F68" t="s">
        <v>142</v>
      </c>
      <c r="G68" t="s">
        <v>83</v>
      </c>
      <c r="H68">
        <v>2</v>
      </c>
      <c r="I68">
        <v>5</v>
      </c>
      <c r="J68">
        <v>6</v>
      </c>
      <c r="K68">
        <v>33</v>
      </c>
      <c r="L68">
        <v>0</v>
      </c>
      <c r="M68" t="s">
        <v>83</v>
      </c>
      <c r="N68" t="s">
        <v>83</v>
      </c>
      <c r="O68" t="s">
        <v>83</v>
      </c>
      <c r="P68">
        <v>-2</v>
      </c>
      <c r="Q68" t="s">
        <v>83</v>
      </c>
      <c r="R68" t="s">
        <v>83</v>
      </c>
      <c r="S68" t="s">
        <v>83</v>
      </c>
      <c r="T68" t="s">
        <v>83</v>
      </c>
      <c r="U68" t="s">
        <v>83</v>
      </c>
      <c r="V68" t="s">
        <v>83</v>
      </c>
      <c r="W68" t="s">
        <v>83</v>
      </c>
      <c r="X68" t="s">
        <v>83</v>
      </c>
      <c r="Y68" t="s">
        <v>83</v>
      </c>
      <c r="Z68" t="s">
        <v>83</v>
      </c>
      <c r="AA68" t="s">
        <v>83</v>
      </c>
      <c r="AB68" t="s">
        <v>83</v>
      </c>
      <c r="AC68">
        <v>1.8</v>
      </c>
      <c r="AD68">
        <v>0.7</v>
      </c>
      <c r="AE68" t="s">
        <v>83</v>
      </c>
      <c r="AF68" t="s">
        <v>83</v>
      </c>
      <c r="AG68" t="s">
        <v>83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3</v>
      </c>
      <c r="AQ68">
        <v>1</v>
      </c>
      <c r="AR68">
        <v>-0.796513313031597</v>
      </c>
      <c r="AS68">
        <v>-1.18819828996463</v>
      </c>
      <c r="AT68" t="s">
        <v>83</v>
      </c>
      <c r="AU68" t="s">
        <v>83</v>
      </c>
      <c r="AV68" t="s">
        <v>83</v>
      </c>
      <c r="AW68" t="s">
        <v>83</v>
      </c>
      <c r="AX68">
        <v>0.01</v>
      </c>
      <c r="AY68" t="s">
        <v>83</v>
      </c>
      <c r="AZ68" t="s">
        <v>83</v>
      </c>
      <c r="BA68" t="s">
        <v>83</v>
      </c>
      <c r="BB68" t="s">
        <v>83</v>
      </c>
      <c r="BC68" t="s">
        <v>83</v>
      </c>
      <c r="BD68" t="s">
        <v>83</v>
      </c>
      <c r="BE68" t="s">
        <v>83</v>
      </c>
      <c r="BF68" t="s">
        <v>83</v>
      </c>
      <c r="BG68" t="s">
        <v>83</v>
      </c>
      <c r="BH68" t="s">
        <v>83</v>
      </c>
      <c r="BI68" t="s">
        <v>83</v>
      </c>
      <c r="BJ68" t="s">
        <v>83</v>
      </c>
      <c r="BK68">
        <v>63.0957344480193</v>
      </c>
      <c r="BL68" t="s">
        <v>83</v>
      </c>
      <c r="BM68">
        <v>5.0118723362727202</v>
      </c>
      <c r="BN68" t="s">
        <v>83</v>
      </c>
      <c r="BO68" t="s">
        <v>83</v>
      </c>
      <c r="BP68">
        <v>68.117606784292093</v>
      </c>
      <c r="BQ68">
        <v>0.5</v>
      </c>
    </row>
    <row r="69" spans="1:69" x14ac:dyDescent="0.3">
      <c r="A69">
        <v>21245</v>
      </c>
      <c r="B69">
        <v>2021</v>
      </c>
      <c r="C69">
        <v>261</v>
      </c>
      <c r="D69">
        <v>901</v>
      </c>
      <c r="E69">
        <v>1</v>
      </c>
      <c r="F69" t="s">
        <v>116</v>
      </c>
      <c r="G69">
        <v>20</v>
      </c>
      <c r="H69">
        <v>3</v>
      </c>
      <c r="I69">
        <v>3</v>
      </c>
      <c r="J69">
        <v>5</v>
      </c>
      <c r="K69">
        <v>60</v>
      </c>
      <c r="L69">
        <v>0.16666700000000001</v>
      </c>
      <c r="M69" t="s">
        <v>83</v>
      </c>
      <c r="N69" t="s">
        <v>83</v>
      </c>
      <c r="O69">
        <v>-0.8</v>
      </c>
      <c r="P69">
        <v>0.9</v>
      </c>
      <c r="Q69" t="s">
        <v>83</v>
      </c>
      <c r="R69" t="s">
        <v>83</v>
      </c>
      <c r="S69" t="s">
        <v>83</v>
      </c>
      <c r="T69" t="s">
        <v>83</v>
      </c>
      <c r="U69" t="s">
        <v>83</v>
      </c>
      <c r="V69" t="s">
        <v>83</v>
      </c>
      <c r="W69" t="s">
        <v>83</v>
      </c>
      <c r="X69" t="s">
        <v>83</v>
      </c>
      <c r="Y69" t="s">
        <v>83</v>
      </c>
      <c r="Z69" t="s">
        <v>83</v>
      </c>
      <c r="AA69" t="s">
        <v>83</v>
      </c>
      <c r="AB69" t="s">
        <v>83</v>
      </c>
      <c r="AC69" t="s">
        <v>83</v>
      </c>
      <c r="AD69">
        <v>2</v>
      </c>
      <c r="AE69" t="s">
        <v>83</v>
      </c>
      <c r="AF69" t="s">
        <v>83</v>
      </c>
      <c r="AG69" t="s">
        <v>83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2</v>
      </c>
      <c r="AQ69">
        <v>0</v>
      </c>
      <c r="AR69">
        <v>0.14046396599104899</v>
      </c>
      <c r="AS69">
        <v>0.24275209964896399</v>
      </c>
      <c r="AT69">
        <v>2.6438774178997799</v>
      </c>
      <c r="AU69" t="s">
        <v>83</v>
      </c>
      <c r="AV69" t="s">
        <v>83</v>
      </c>
      <c r="AW69">
        <v>0.15848931924611101</v>
      </c>
      <c r="AX69">
        <v>7.9432823472428202</v>
      </c>
      <c r="AY69" t="s">
        <v>83</v>
      </c>
      <c r="AZ69" t="s">
        <v>83</v>
      </c>
      <c r="BA69" t="s">
        <v>83</v>
      </c>
      <c r="BB69" t="s">
        <v>83</v>
      </c>
      <c r="BC69" t="s">
        <v>83</v>
      </c>
      <c r="BD69" t="s">
        <v>83</v>
      </c>
      <c r="BE69" t="s">
        <v>83</v>
      </c>
      <c r="BF69" t="s">
        <v>83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83</v>
      </c>
      <c r="BM69">
        <v>100</v>
      </c>
      <c r="BN69" t="s">
        <v>83</v>
      </c>
      <c r="BO69" t="s">
        <v>83</v>
      </c>
      <c r="BP69">
        <v>108.101771666489</v>
      </c>
      <c r="BQ69">
        <v>2.1</v>
      </c>
    </row>
    <row r="70" spans="1:69" x14ac:dyDescent="0.3">
      <c r="A70">
        <v>21246</v>
      </c>
      <c r="B70">
        <v>2021</v>
      </c>
      <c r="C70">
        <v>211</v>
      </c>
      <c r="D70">
        <v>35</v>
      </c>
      <c r="E70">
        <v>1</v>
      </c>
      <c r="F70" t="s">
        <v>93</v>
      </c>
      <c r="G70">
        <v>6</v>
      </c>
      <c r="H70">
        <v>3</v>
      </c>
      <c r="I70">
        <v>3</v>
      </c>
      <c r="J70">
        <v>4</v>
      </c>
      <c r="K70">
        <v>75</v>
      </c>
      <c r="L70">
        <v>0.16666666499999999</v>
      </c>
      <c r="M70" t="s">
        <v>83</v>
      </c>
      <c r="N70" t="s">
        <v>83</v>
      </c>
      <c r="O70" t="s">
        <v>83</v>
      </c>
      <c r="P70">
        <v>-1</v>
      </c>
      <c r="Q70" t="s">
        <v>83</v>
      </c>
      <c r="R70">
        <v>-1.9</v>
      </c>
      <c r="S70">
        <v>-0.8</v>
      </c>
      <c r="T70" t="s">
        <v>83</v>
      </c>
      <c r="U70" t="s">
        <v>83</v>
      </c>
      <c r="V70" t="s">
        <v>83</v>
      </c>
      <c r="W70" t="s">
        <v>83</v>
      </c>
      <c r="X70" t="s">
        <v>83</v>
      </c>
      <c r="Y70" t="s">
        <v>83</v>
      </c>
      <c r="Z70" t="s">
        <v>83</v>
      </c>
      <c r="AA70" t="s">
        <v>83</v>
      </c>
      <c r="AB70" t="s">
        <v>83</v>
      </c>
      <c r="AC70" t="s">
        <v>83</v>
      </c>
      <c r="AD70">
        <v>0.5</v>
      </c>
      <c r="AE70" t="s">
        <v>83</v>
      </c>
      <c r="AF70" t="s">
        <v>83</v>
      </c>
      <c r="AG70" t="s">
        <v>83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2</v>
      </c>
      <c r="AQ70">
        <v>0</v>
      </c>
      <c r="AR70">
        <v>0.66100689878140895</v>
      </c>
      <c r="AS70">
        <v>0.242749223444433</v>
      </c>
      <c r="AT70">
        <v>-0.48271409081760103</v>
      </c>
      <c r="AU70" t="s">
        <v>83</v>
      </c>
      <c r="AV70" t="s">
        <v>83</v>
      </c>
      <c r="AW70" t="s">
        <v>83</v>
      </c>
      <c r="AX70">
        <v>0.1</v>
      </c>
      <c r="AY70" t="s">
        <v>83</v>
      </c>
      <c r="AZ70">
        <v>1.2589254117941699E-2</v>
      </c>
      <c r="BA70">
        <v>0.15848931924611101</v>
      </c>
      <c r="BB70" t="s">
        <v>83</v>
      </c>
      <c r="BC70" t="s">
        <v>83</v>
      </c>
      <c r="BD70" t="s">
        <v>83</v>
      </c>
      <c r="BE70" t="s">
        <v>83</v>
      </c>
      <c r="BF70" t="s">
        <v>83</v>
      </c>
      <c r="BG70" t="s">
        <v>83</v>
      </c>
      <c r="BH70" t="s">
        <v>83</v>
      </c>
      <c r="BI70" t="s">
        <v>83</v>
      </c>
      <c r="BJ70" t="s">
        <v>83</v>
      </c>
      <c r="BK70" t="s">
        <v>83</v>
      </c>
      <c r="BL70" t="s">
        <v>83</v>
      </c>
      <c r="BM70">
        <v>3.16227766016838</v>
      </c>
      <c r="BN70" t="s">
        <v>83</v>
      </c>
      <c r="BO70" t="s">
        <v>83</v>
      </c>
      <c r="BP70">
        <v>3.4333562335324301</v>
      </c>
      <c r="BQ70">
        <v>-3.2</v>
      </c>
    </row>
    <row r="71" spans="1:69" x14ac:dyDescent="0.3">
      <c r="A71">
        <v>21247</v>
      </c>
      <c r="B71">
        <v>2021</v>
      </c>
      <c r="C71">
        <v>263</v>
      </c>
      <c r="D71">
        <v>910</v>
      </c>
      <c r="E71">
        <v>2</v>
      </c>
      <c r="F71" t="s">
        <v>117</v>
      </c>
      <c r="G71">
        <v>10</v>
      </c>
      <c r="H71">
        <v>4</v>
      </c>
      <c r="I71">
        <v>5</v>
      </c>
      <c r="J71">
        <v>5</v>
      </c>
      <c r="K71">
        <v>80</v>
      </c>
      <c r="L71">
        <v>0.27777800000000002</v>
      </c>
      <c r="M71" t="s">
        <v>83</v>
      </c>
      <c r="N71" t="s">
        <v>83</v>
      </c>
      <c r="O71" t="s">
        <v>83</v>
      </c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83</v>
      </c>
      <c r="V71" t="s">
        <v>83</v>
      </c>
      <c r="W71" t="s">
        <v>83</v>
      </c>
      <c r="X71" t="s">
        <v>83</v>
      </c>
      <c r="Y71" t="s">
        <v>83</v>
      </c>
      <c r="Z71" t="s">
        <v>83</v>
      </c>
      <c r="AA71" t="s">
        <v>83</v>
      </c>
      <c r="AB71" t="s">
        <v>83</v>
      </c>
      <c r="AC71" t="s">
        <v>83</v>
      </c>
      <c r="AD71">
        <v>0.4</v>
      </c>
      <c r="AE71" t="s">
        <v>83</v>
      </c>
      <c r="AF71" t="s">
        <v>83</v>
      </c>
      <c r="AG71" t="s">
        <v>83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0.83452120971152799</v>
      </c>
      <c r="AS71">
        <v>1.19671616416297</v>
      </c>
      <c r="AT71">
        <v>0.41059776881593502</v>
      </c>
      <c r="AU71" t="s">
        <v>83</v>
      </c>
      <c r="AV71" t="s">
        <v>83</v>
      </c>
      <c r="AW71" t="s">
        <v>83</v>
      </c>
      <c r="AX71" t="s">
        <v>83</v>
      </c>
      <c r="AY71" t="s">
        <v>83</v>
      </c>
      <c r="AZ71" t="s">
        <v>83</v>
      </c>
      <c r="BA71" t="s">
        <v>83</v>
      </c>
      <c r="BB71" t="s">
        <v>83</v>
      </c>
      <c r="BC71" t="s">
        <v>83</v>
      </c>
      <c r="BD71" t="s">
        <v>83</v>
      </c>
      <c r="BE71" t="s">
        <v>83</v>
      </c>
      <c r="BF71" t="s">
        <v>83</v>
      </c>
      <c r="BG71" t="s">
        <v>83</v>
      </c>
      <c r="BH71" t="s">
        <v>83</v>
      </c>
      <c r="BI71" t="s">
        <v>83</v>
      </c>
      <c r="BJ71" t="s">
        <v>83</v>
      </c>
      <c r="BK71" t="s">
        <v>83</v>
      </c>
      <c r="BL71" t="s">
        <v>83</v>
      </c>
      <c r="BM71">
        <v>2.5118864315095801</v>
      </c>
      <c r="BN71" t="s">
        <v>83</v>
      </c>
      <c r="BO71" t="s">
        <v>83</v>
      </c>
      <c r="BP71">
        <v>2.5118864315095801</v>
      </c>
      <c r="BQ71">
        <v>0.4</v>
      </c>
    </row>
    <row r="72" spans="1:69" x14ac:dyDescent="0.3">
      <c r="A72">
        <v>21248</v>
      </c>
      <c r="B72">
        <v>2021</v>
      </c>
      <c r="C72">
        <v>279</v>
      </c>
      <c r="D72">
        <v>10</v>
      </c>
      <c r="E72">
        <v>1</v>
      </c>
      <c r="F72" t="s">
        <v>143</v>
      </c>
      <c r="G72">
        <v>7</v>
      </c>
      <c r="H72">
        <v>2</v>
      </c>
      <c r="I72">
        <v>3</v>
      </c>
      <c r="J72">
        <v>4</v>
      </c>
      <c r="K72">
        <v>50</v>
      </c>
      <c r="L72">
        <v>0.111111115</v>
      </c>
      <c r="M72" t="s">
        <v>83</v>
      </c>
      <c r="N72" t="s">
        <v>83</v>
      </c>
      <c r="O72">
        <v>-1.9</v>
      </c>
      <c r="P72" t="s">
        <v>83</v>
      </c>
      <c r="Q72" t="s">
        <v>83</v>
      </c>
      <c r="R72" t="s">
        <v>83</v>
      </c>
      <c r="S72">
        <v>-1</v>
      </c>
      <c r="T72" t="s">
        <v>83</v>
      </c>
      <c r="U72" t="s">
        <v>83</v>
      </c>
      <c r="V72" t="s">
        <v>83</v>
      </c>
      <c r="W72" t="s">
        <v>83</v>
      </c>
      <c r="X72" t="s">
        <v>83</v>
      </c>
      <c r="Y72" t="s">
        <v>83</v>
      </c>
      <c r="Z72" t="s">
        <v>83</v>
      </c>
      <c r="AA72" t="s">
        <v>83</v>
      </c>
      <c r="AB72" t="s">
        <v>83</v>
      </c>
      <c r="AC72" t="s">
        <v>83</v>
      </c>
      <c r="AD72">
        <v>-0.4</v>
      </c>
      <c r="AE72" t="s">
        <v>83</v>
      </c>
      <c r="AF72" t="s">
        <v>83</v>
      </c>
      <c r="AG72" t="s">
        <v>83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2</v>
      </c>
      <c r="AQ72">
        <v>0</v>
      </c>
      <c r="AR72">
        <v>-0.20656465586919001</v>
      </c>
      <c r="AS72">
        <v>-0.234233238096828</v>
      </c>
      <c r="AT72">
        <v>-0.259386125909217</v>
      </c>
      <c r="AU72" t="s">
        <v>83</v>
      </c>
      <c r="AV72" t="s">
        <v>83</v>
      </c>
      <c r="AW72">
        <v>1.2589254117941699E-2</v>
      </c>
      <c r="AX72" t="s">
        <v>83</v>
      </c>
      <c r="AY72" t="s">
        <v>83</v>
      </c>
      <c r="AZ72" t="s">
        <v>83</v>
      </c>
      <c r="BA72">
        <v>0.1</v>
      </c>
      <c r="BB72" t="s">
        <v>83</v>
      </c>
      <c r="BC72" t="s">
        <v>83</v>
      </c>
      <c r="BD72" t="s">
        <v>83</v>
      </c>
      <c r="BE72" t="s">
        <v>83</v>
      </c>
      <c r="BF72" t="s">
        <v>83</v>
      </c>
      <c r="BG72" t="s">
        <v>83</v>
      </c>
      <c r="BH72" t="s">
        <v>83</v>
      </c>
      <c r="BI72" t="s">
        <v>83</v>
      </c>
      <c r="BJ72" t="s">
        <v>83</v>
      </c>
      <c r="BK72" t="s">
        <v>83</v>
      </c>
      <c r="BL72" t="s">
        <v>83</v>
      </c>
      <c r="BM72">
        <v>0.39810717055349698</v>
      </c>
      <c r="BN72" t="s">
        <v>83</v>
      </c>
      <c r="BO72" t="s">
        <v>83</v>
      </c>
      <c r="BP72">
        <v>0.51069642467143905</v>
      </c>
      <c r="BQ72">
        <v>-3.3</v>
      </c>
    </row>
    <row r="73" spans="1:69" x14ac:dyDescent="0.3">
      <c r="A73">
        <v>21249</v>
      </c>
      <c r="B73">
        <v>2021</v>
      </c>
      <c r="C73">
        <v>227</v>
      </c>
      <c r="D73">
        <v>305</v>
      </c>
      <c r="E73">
        <v>1</v>
      </c>
      <c r="F73" t="s">
        <v>83</v>
      </c>
      <c r="G73" t="s">
        <v>83</v>
      </c>
      <c r="H73">
        <v>3</v>
      </c>
      <c r="I73">
        <v>4</v>
      </c>
      <c r="J73">
        <v>4</v>
      </c>
      <c r="K73">
        <v>75</v>
      </c>
      <c r="L73" t="s">
        <v>83</v>
      </c>
      <c r="M73" t="s">
        <v>83</v>
      </c>
      <c r="N73" t="s">
        <v>83</v>
      </c>
      <c r="O73" t="s">
        <v>83</v>
      </c>
      <c r="P73" t="s">
        <v>83</v>
      </c>
      <c r="Q73">
        <v>-0.7</v>
      </c>
      <c r="R73" t="s">
        <v>83</v>
      </c>
      <c r="S73">
        <v>-0.7</v>
      </c>
      <c r="T73" t="s">
        <v>83</v>
      </c>
      <c r="U73" t="s">
        <v>83</v>
      </c>
      <c r="V73" t="s">
        <v>83</v>
      </c>
      <c r="W73" t="s">
        <v>83</v>
      </c>
      <c r="X73" t="s">
        <v>83</v>
      </c>
      <c r="Y73" t="s">
        <v>83</v>
      </c>
      <c r="Z73" t="s">
        <v>83</v>
      </c>
      <c r="AA73" t="s">
        <v>83</v>
      </c>
      <c r="AB73" t="s">
        <v>83</v>
      </c>
      <c r="AC73" t="s">
        <v>83</v>
      </c>
      <c r="AD73">
        <v>2.1</v>
      </c>
      <c r="AE73" t="s">
        <v>83</v>
      </c>
      <c r="AF73" t="s">
        <v>83</v>
      </c>
      <c r="AG73" t="s">
        <v>83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2</v>
      </c>
      <c r="AQ73">
        <v>0</v>
      </c>
      <c r="AR73">
        <v>0.66100689878140895</v>
      </c>
      <c r="AS73" t="s">
        <v>83</v>
      </c>
      <c r="AT73" t="s">
        <v>83</v>
      </c>
      <c r="AU73" t="s">
        <v>83</v>
      </c>
      <c r="AV73" t="s">
        <v>83</v>
      </c>
      <c r="AW73" t="s">
        <v>83</v>
      </c>
      <c r="AX73" t="s">
        <v>83</v>
      </c>
      <c r="AY73">
        <v>0.199526231496888</v>
      </c>
      <c r="AZ73" t="s">
        <v>83</v>
      </c>
      <c r="BA73">
        <v>0.199526231496888</v>
      </c>
      <c r="BB73" t="s">
        <v>83</v>
      </c>
      <c r="BC73" t="s">
        <v>83</v>
      </c>
      <c r="BD73" t="s">
        <v>83</v>
      </c>
      <c r="BE73" t="s">
        <v>83</v>
      </c>
      <c r="BF73" t="s">
        <v>83</v>
      </c>
      <c r="BG73" t="s">
        <v>83</v>
      </c>
      <c r="BH73" t="s">
        <v>83</v>
      </c>
      <c r="BI73" t="s">
        <v>83</v>
      </c>
      <c r="BJ73" t="s">
        <v>83</v>
      </c>
      <c r="BK73" t="s">
        <v>83</v>
      </c>
      <c r="BL73" t="s">
        <v>83</v>
      </c>
      <c r="BM73">
        <v>125.89254117941699</v>
      </c>
      <c r="BN73" t="s">
        <v>83</v>
      </c>
      <c r="BO73" t="s">
        <v>83</v>
      </c>
      <c r="BP73">
        <v>126.291593642411</v>
      </c>
      <c r="BQ73">
        <v>0.7</v>
      </c>
    </row>
    <row r="74" spans="1:69" x14ac:dyDescent="0.3">
      <c r="A74">
        <v>21250</v>
      </c>
      <c r="B74">
        <v>2021</v>
      </c>
      <c r="C74">
        <v>231</v>
      </c>
      <c r="D74">
        <v>230</v>
      </c>
      <c r="E74">
        <v>1</v>
      </c>
      <c r="F74" t="s">
        <v>144</v>
      </c>
      <c r="G74">
        <v>22</v>
      </c>
      <c r="H74">
        <v>0</v>
      </c>
      <c r="I74">
        <v>0</v>
      </c>
      <c r="J74">
        <v>4</v>
      </c>
      <c r="K74">
        <v>0</v>
      </c>
      <c r="L74">
        <v>5.5555559999999997E-2</v>
      </c>
      <c r="M74">
        <v>-2.9</v>
      </c>
      <c r="N74">
        <v>-4.7</v>
      </c>
      <c r="O74" t="s">
        <v>83</v>
      </c>
      <c r="P74">
        <v>-2.6</v>
      </c>
      <c r="Q74" t="s">
        <v>83</v>
      </c>
      <c r="R74">
        <v>-2.6</v>
      </c>
      <c r="S74">
        <v>-2.2000000000000002</v>
      </c>
      <c r="T74" t="s">
        <v>83</v>
      </c>
      <c r="U74" t="s">
        <v>83</v>
      </c>
      <c r="V74">
        <v>-2.2000000000000002</v>
      </c>
      <c r="W74">
        <v>-3.9</v>
      </c>
      <c r="X74">
        <v>-1.2</v>
      </c>
      <c r="Y74">
        <v>-3.7</v>
      </c>
      <c r="Z74" t="s">
        <v>83</v>
      </c>
      <c r="AA74">
        <v>-2.4</v>
      </c>
      <c r="AB74" t="s">
        <v>83</v>
      </c>
      <c r="AC74">
        <v>-1.1000000000000001</v>
      </c>
      <c r="AD74">
        <v>0.1</v>
      </c>
      <c r="AE74" t="s">
        <v>83</v>
      </c>
      <c r="AF74" t="s">
        <v>83</v>
      </c>
      <c r="AG74" t="s">
        <v>83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7</v>
      </c>
      <c r="AQ74">
        <v>1</v>
      </c>
      <c r="AR74">
        <v>-1.94170776517039</v>
      </c>
      <c r="AS74">
        <v>-0.71121574256651598</v>
      </c>
      <c r="AT74">
        <v>3.0905333477165402</v>
      </c>
      <c r="AU74">
        <v>1.2589254117941701E-3</v>
      </c>
      <c r="AV74" s="1" t="s">
        <v>135</v>
      </c>
      <c r="AW74" t="s">
        <v>83</v>
      </c>
      <c r="AX74">
        <v>2.5118864315095799E-3</v>
      </c>
      <c r="AY74" t="s">
        <v>83</v>
      </c>
      <c r="AZ74">
        <v>2.5118864315095799E-3</v>
      </c>
      <c r="BA74">
        <v>6.3095734448019303E-3</v>
      </c>
      <c r="BB74" t="s">
        <v>83</v>
      </c>
      <c r="BC74" t="s">
        <v>83</v>
      </c>
      <c r="BD74">
        <v>6.3095734448019303E-3</v>
      </c>
      <c r="BE74">
        <v>1.2589254117941699E-4</v>
      </c>
      <c r="BF74">
        <v>6.3095734448019303E-2</v>
      </c>
      <c r="BG74">
        <v>1.9952623149688801E-4</v>
      </c>
      <c r="BH74" t="s">
        <v>83</v>
      </c>
      <c r="BI74">
        <v>3.9810717055349699E-3</v>
      </c>
      <c r="BJ74" t="s">
        <v>83</v>
      </c>
      <c r="BK74">
        <v>7.9432823472428096E-2</v>
      </c>
      <c r="BL74" t="s">
        <v>83</v>
      </c>
      <c r="BM74">
        <v>1.2589254117941699</v>
      </c>
      <c r="BN74" t="s">
        <v>83</v>
      </c>
      <c r="BO74" t="s">
        <v>83</v>
      </c>
      <c r="BP74">
        <v>1.4246822579803899</v>
      </c>
      <c r="BQ74">
        <v>-29.4</v>
      </c>
    </row>
    <row r="75" spans="1:69" x14ac:dyDescent="0.3">
      <c r="A75">
        <v>21251</v>
      </c>
      <c r="B75">
        <v>2021</v>
      </c>
      <c r="C75" t="s">
        <v>145</v>
      </c>
      <c r="D75">
        <v>240</v>
      </c>
      <c r="E75">
        <v>1</v>
      </c>
      <c r="F75" t="s">
        <v>83</v>
      </c>
      <c r="G75" t="s">
        <v>83</v>
      </c>
      <c r="H75">
        <v>2</v>
      </c>
      <c r="I75">
        <v>4</v>
      </c>
      <c r="J75">
        <v>5</v>
      </c>
      <c r="K75">
        <v>40</v>
      </c>
      <c r="L75" t="s">
        <v>83</v>
      </c>
      <c r="M75" t="s">
        <v>83</v>
      </c>
      <c r="N75" t="s">
        <v>83</v>
      </c>
      <c r="O75" t="s">
        <v>83</v>
      </c>
      <c r="P75" t="s">
        <v>83</v>
      </c>
      <c r="Q75">
        <v>0.2</v>
      </c>
      <c r="R75" t="s">
        <v>83</v>
      </c>
      <c r="S75">
        <v>0.1</v>
      </c>
      <c r="T75" t="s">
        <v>83</v>
      </c>
      <c r="U75" t="s">
        <v>83</v>
      </c>
      <c r="V75" t="s">
        <v>83</v>
      </c>
      <c r="W75" t="s">
        <v>83</v>
      </c>
      <c r="X75" t="s">
        <v>83</v>
      </c>
      <c r="Y75" t="s">
        <v>83</v>
      </c>
      <c r="Z75" t="s">
        <v>83</v>
      </c>
      <c r="AA75" t="s">
        <v>83</v>
      </c>
      <c r="AB75" t="s">
        <v>83</v>
      </c>
      <c r="AC75" t="s">
        <v>83</v>
      </c>
      <c r="AD75">
        <v>0.5</v>
      </c>
      <c r="AE75">
        <v>0</v>
      </c>
      <c r="AF75" t="s">
        <v>83</v>
      </c>
      <c r="AG75" t="s">
        <v>83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>
        <v>3</v>
      </c>
      <c r="AQ75">
        <v>1</v>
      </c>
      <c r="AR75">
        <v>-0.55359327772942901</v>
      </c>
      <c r="AS75" t="s">
        <v>83</v>
      </c>
      <c r="AT75" t="s">
        <v>83</v>
      </c>
      <c r="AU75" t="s">
        <v>83</v>
      </c>
      <c r="AV75" t="s">
        <v>83</v>
      </c>
      <c r="AW75" t="s">
        <v>83</v>
      </c>
      <c r="AX75" t="s">
        <v>83</v>
      </c>
      <c r="AY75">
        <v>1.58489319246111</v>
      </c>
      <c r="AZ75" t="s">
        <v>83</v>
      </c>
      <c r="BA75">
        <v>1.2589254117941699</v>
      </c>
      <c r="BB75" t="s">
        <v>83</v>
      </c>
      <c r="BC75" t="s">
        <v>83</v>
      </c>
      <c r="BD75" t="s">
        <v>83</v>
      </c>
      <c r="BE75" t="s">
        <v>83</v>
      </c>
      <c r="BF75" t="s">
        <v>83</v>
      </c>
      <c r="BG75" t="s">
        <v>83</v>
      </c>
      <c r="BH75" t="s">
        <v>83</v>
      </c>
      <c r="BI75" t="s">
        <v>83</v>
      </c>
      <c r="BJ75" t="s">
        <v>83</v>
      </c>
      <c r="BK75" t="s">
        <v>83</v>
      </c>
      <c r="BL75">
        <v>1</v>
      </c>
      <c r="BM75">
        <v>3.16227766016838</v>
      </c>
      <c r="BN75" t="s">
        <v>83</v>
      </c>
      <c r="BO75" t="s">
        <v>83</v>
      </c>
      <c r="BP75">
        <v>7.0060962644236602</v>
      </c>
      <c r="BQ75">
        <v>0.8</v>
      </c>
    </row>
    <row r="76" spans="1:69" x14ac:dyDescent="0.3">
      <c r="A76">
        <v>21252</v>
      </c>
      <c r="B76">
        <v>2021</v>
      </c>
      <c r="C76">
        <v>243</v>
      </c>
      <c r="D76">
        <v>304</v>
      </c>
      <c r="E76">
        <v>1</v>
      </c>
      <c r="F76" t="s">
        <v>110</v>
      </c>
      <c r="G76">
        <v>7</v>
      </c>
      <c r="H76">
        <v>2</v>
      </c>
      <c r="I76">
        <v>2</v>
      </c>
      <c r="J76">
        <v>3</v>
      </c>
      <c r="K76">
        <v>67</v>
      </c>
      <c r="L76">
        <v>5.5556000000000001E-2</v>
      </c>
      <c r="M76" t="s">
        <v>83</v>
      </c>
      <c r="N76" t="s">
        <v>83</v>
      </c>
      <c r="O76" t="s">
        <v>83</v>
      </c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83</v>
      </c>
      <c r="V76" t="s">
        <v>83</v>
      </c>
      <c r="W76" t="s">
        <v>83</v>
      </c>
      <c r="X76" t="s">
        <v>83</v>
      </c>
      <c r="Y76" t="s">
        <v>83</v>
      </c>
      <c r="Z76" t="s">
        <v>83</v>
      </c>
      <c r="AA76" t="s">
        <v>83</v>
      </c>
      <c r="AB76" t="s">
        <v>83</v>
      </c>
      <c r="AC76" t="s">
        <v>83</v>
      </c>
      <c r="AD76">
        <v>0</v>
      </c>
      <c r="AE76">
        <v>0.3</v>
      </c>
      <c r="AF76" t="s">
        <v>83</v>
      </c>
      <c r="AG76">
        <v>0.6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1</v>
      </c>
      <c r="AP76">
        <v>3</v>
      </c>
      <c r="AQ76">
        <v>1</v>
      </c>
      <c r="AR76">
        <v>0.38338400129321698</v>
      </c>
      <c r="AS76">
        <v>-0.71121196486504301</v>
      </c>
      <c r="AT76">
        <v>-0.259386125909217</v>
      </c>
      <c r="AU76" t="s">
        <v>83</v>
      </c>
      <c r="AV76" t="s">
        <v>83</v>
      </c>
      <c r="AW76" t="s">
        <v>83</v>
      </c>
      <c r="AX76" t="s">
        <v>83</v>
      </c>
      <c r="AY76" t="s">
        <v>83</v>
      </c>
      <c r="AZ76" t="s">
        <v>83</v>
      </c>
      <c r="BA76" t="s">
        <v>83</v>
      </c>
      <c r="BB76" t="s">
        <v>83</v>
      </c>
      <c r="BC76" t="s">
        <v>83</v>
      </c>
      <c r="BD76" t="s">
        <v>83</v>
      </c>
      <c r="BE76" t="s">
        <v>83</v>
      </c>
      <c r="BF76" t="s">
        <v>83</v>
      </c>
      <c r="BG76" t="s">
        <v>83</v>
      </c>
      <c r="BH76" t="s">
        <v>83</v>
      </c>
      <c r="BI76" t="s">
        <v>83</v>
      </c>
      <c r="BJ76" t="s">
        <v>83</v>
      </c>
      <c r="BK76" t="s">
        <v>83</v>
      </c>
      <c r="BL76">
        <v>1.99526231496888</v>
      </c>
      <c r="BM76">
        <v>1</v>
      </c>
      <c r="BN76" t="s">
        <v>83</v>
      </c>
      <c r="BO76">
        <v>3.98107170553497</v>
      </c>
      <c r="BP76">
        <v>6.9763340205038498</v>
      </c>
      <c r="BQ76">
        <v>0.9</v>
      </c>
    </row>
    <row r="77" spans="1:69" x14ac:dyDescent="0.3">
      <c r="A77">
        <v>21253</v>
      </c>
      <c r="B77">
        <v>2021</v>
      </c>
      <c r="C77">
        <v>223</v>
      </c>
      <c r="D77">
        <v>802</v>
      </c>
      <c r="E77">
        <v>1</v>
      </c>
      <c r="F77" t="s">
        <v>83</v>
      </c>
      <c r="G77" t="s">
        <v>83</v>
      </c>
      <c r="H77">
        <v>3</v>
      </c>
      <c r="I77">
        <v>3</v>
      </c>
      <c r="J77">
        <v>4</v>
      </c>
      <c r="K77">
        <v>75</v>
      </c>
      <c r="L77" t="s">
        <v>83</v>
      </c>
      <c r="M77" t="s">
        <v>83</v>
      </c>
      <c r="N77" t="s">
        <v>83</v>
      </c>
      <c r="O77" t="s">
        <v>83</v>
      </c>
      <c r="P77" t="s">
        <v>83</v>
      </c>
      <c r="Q77">
        <v>-0.2</v>
      </c>
      <c r="R77" t="s">
        <v>83</v>
      </c>
      <c r="S77" t="s">
        <v>83</v>
      </c>
      <c r="T77" t="s">
        <v>83</v>
      </c>
      <c r="U77" t="s">
        <v>83</v>
      </c>
      <c r="V77" t="s">
        <v>83</v>
      </c>
      <c r="W77" t="s">
        <v>83</v>
      </c>
      <c r="X77" t="s">
        <v>83</v>
      </c>
      <c r="Y77" t="s">
        <v>83</v>
      </c>
      <c r="Z77" t="s">
        <v>83</v>
      </c>
      <c r="AA77" t="s">
        <v>83</v>
      </c>
      <c r="AB77" t="s">
        <v>83</v>
      </c>
      <c r="AC77">
        <v>1.9</v>
      </c>
      <c r="AD77">
        <v>1</v>
      </c>
      <c r="AE77" t="s">
        <v>83</v>
      </c>
      <c r="AF77" t="s">
        <v>83</v>
      </c>
      <c r="AG77" t="s">
        <v>83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3</v>
      </c>
      <c r="AQ77">
        <v>1</v>
      </c>
      <c r="AR77">
        <v>0.66100689878140895</v>
      </c>
      <c r="AS77" t="s">
        <v>83</v>
      </c>
      <c r="AT77" t="s">
        <v>83</v>
      </c>
      <c r="AU77" t="s">
        <v>83</v>
      </c>
      <c r="AV77" t="s">
        <v>83</v>
      </c>
      <c r="AW77" t="s">
        <v>83</v>
      </c>
      <c r="AX77" t="s">
        <v>83</v>
      </c>
      <c r="AY77">
        <v>0.63095734448019303</v>
      </c>
      <c r="AZ77" t="s">
        <v>83</v>
      </c>
      <c r="BA77" t="s">
        <v>83</v>
      </c>
      <c r="BB77" t="s">
        <v>83</v>
      </c>
      <c r="BC77" t="s">
        <v>83</v>
      </c>
      <c r="BD77" t="s">
        <v>83</v>
      </c>
      <c r="BE77" t="s">
        <v>83</v>
      </c>
      <c r="BF77" t="s">
        <v>83</v>
      </c>
      <c r="BG77" t="s">
        <v>83</v>
      </c>
      <c r="BH77" t="s">
        <v>83</v>
      </c>
      <c r="BI77" t="s">
        <v>83</v>
      </c>
      <c r="BJ77" t="s">
        <v>83</v>
      </c>
      <c r="BK77">
        <v>79.432823472428097</v>
      </c>
      <c r="BL77" t="s">
        <v>83</v>
      </c>
      <c r="BM77">
        <v>10</v>
      </c>
      <c r="BN77" t="s">
        <v>83</v>
      </c>
      <c r="BO77" t="s">
        <v>83</v>
      </c>
      <c r="BP77">
        <v>90.063780816908306</v>
      </c>
      <c r="BQ77">
        <v>2.7</v>
      </c>
    </row>
    <row r="78" spans="1:69" x14ac:dyDescent="0.3">
      <c r="A78">
        <v>21254</v>
      </c>
      <c r="B78">
        <v>2021</v>
      </c>
      <c r="C78">
        <v>245</v>
      </c>
      <c r="D78">
        <v>234</v>
      </c>
      <c r="E78">
        <v>1</v>
      </c>
      <c r="F78" t="s">
        <v>104</v>
      </c>
      <c r="G78">
        <v>7</v>
      </c>
      <c r="H78">
        <v>3</v>
      </c>
      <c r="I78">
        <v>4</v>
      </c>
      <c r="J78">
        <v>4</v>
      </c>
      <c r="K78">
        <v>75</v>
      </c>
      <c r="L78">
        <v>5.5556000000000001E-2</v>
      </c>
      <c r="M78" t="s">
        <v>83</v>
      </c>
      <c r="N78">
        <v>-3.6</v>
      </c>
      <c r="O78" t="s">
        <v>83</v>
      </c>
      <c r="P78">
        <v>-1.9</v>
      </c>
      <c r="Q78" t="s">
        <v>83</v>
      </c>
      <c r="R78">
        <v>-1.8</v>
      </c>
      <c r="S78">
        <v>-0.6</v>
      </c>
      <c r="T78" t="s">
        <v>83</v>
      </c>
      <c r="U78" t="s">
        <v>83</v>
      </c>
      <c r="V78">
        <v>-2.4</v>
      </c>
      <c r="W78">
        <v>-3</v>
      </c>
      <c r="X78">
        <v>-2.5</v>
      </c>
      <c r="Y78" t="s">
        <v>83</v>
      </c>
      <c r="Z78" t="s">
        <v>83</v>
      </c>
      <c r="AA78">
        <v>-1.4</v>
      </c>
      <c r="AB78" t="s">
        <v>83</v>
      </c>
      <c r="AC78" t="s">
        <v>83</v>
      </c>
      <c r="AD78">
        <v>-0.1</v>
      </c>
      <c r="AE78" t="s">
        <v>83</v>
      </c>
      <c r="AF78" t="s">
        <v>83</v>
      </c>
      <c r="AG78" t="s">
        <v>83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5</v>
      </c>
      <c r="AQ78">
        <v>1</v>
      </c>
      <c r="AR78">
        <v>0.66100689878140895</v>
      </c>
      <c r="AS78">
        <v>-0.71121196486504301</v>
      </c>
      <c r="AT78">
        <v>-0.259386125909217</v>
      </c>
      <c r="AU78" t="s">
        <v>83</v>
      </c>
      <c r="AV78">
        <v>2.5118864315095801E-4</v>
      </c>
      <c r="AW78" t="s">
        <v>83</v>
      </c>
      <c r="AX78">
        <v>1.2589254117941699E-2</v>
      </c>
      <c r="AY78" t="s">
        <v>83</v>
      </c>
      <c r="AZ78">
        <v>1.58489319246111E-2</v>
      </c>
      <c r="BA78">
        <v>0.25118864315095801</v>
      </c>
      <c r="BB78" t="s">
        <v>83</v>
      </c>
      <c r="BC78" t="s">
        <v>83</v>
      </c>
      <c r="BD78">
        <v>3.9810717055349699E-3</v>
      </c>
      <c r="BE78">
        <v>1E-3</v>
      </c>
      <c r="BF78">
        <v>3.1622776601683798E-3</v>
      </c>
      <c r="BG78" t="s">
        <v>83</v>
      </c>
      <c r="BH78" t="s">
        <v>83</v>
      </c>
      <c r="BI78">
        <v>3.9810717055349699E-2</v>
      </c>
      <c r="BJ78" t="s">
        <v>83</v>
      </c>
      <c r="BK78" t="s">
        <v>83</v>
      </c>
      <c r="BL78" t="s">
        <v>83</v>
      </c>
      <c r="BM78">
        <v>0.79432823472428105</v>
      </c>
      <c r="BN78" t="s">
        <v>83</v>
      </c>
      <c r="BO78" t="s">
        <v>83</v>
      </c>
      <c r="BP78">
        <v>1.122160318982</v>
      </c>
      <c r="BQ78">
        <v>-17.3</v>
      </c>
    </row>
    <row r="79" spans="1:69" x14ac:dyDescent="0.3">
      <c r="A79">
        <v>21255</v>
      </c>
      <c r="B79">
        <v>2021</v>
      </c>
      <c r="C79">
        <v>221</v>
      </c>
      <c r="D79">
        <v>2018</v>
      </c>
      <c r="E79">
        <v>1</v>
      </c>
      <c r="F79" t="s">
        <v>83</v>
      </c>
      <c r="G79" t="s">
        <v>83</v>
      </c>
      <c r="H79">
        <v>3</v>
      </c>
      <c r="I79">
        <v>3</v>
      </c>
      <c r="J79">
        <v>4</v>
      </c>
      <c r="K79">
        <v>75</v>
      </c>
      <c r="L79" t="s">
        <v>83</v>
      </c>
      <c r="M79" t="s">
        <v>83</v>
      </c>
      <c r="N79" t="s">
        <v>83</v>
      </c>
      <c r="O79" t="s">
        <v>83</v>
      </c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83</v>
      </c>
      <c r="V79">
        <v>-0.2</v>
      </c>
      <c r="W79" t="s">
        <v>83</v>
      </c>
      <c r="X79" t="s">
        <v>83</v>
      </c>
      <c r="Y79" t="s">
        <v>83</v>
      </c>
      <c r="Z79" t="s">
        <v>83</v>
      </c>
      <c r="AA79" t="s">
        <v>83</v>
      </c>
      <c r="AB79" t="s">
        <v>83</v>
      </c>
      <c r="AC79" t="s">
        <v>83</v>
      </c>
      <c r="AD79">
        <v>1.9</v>
      </c>
      <c r="AE79" t="s">
        <v>83</v>
      </c>
      <c r="AF79" t="s">
        <v>83</v>
      </c>
      <c r="AG79" t="s">
        <v>83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2</v>
      </c>
      <c r="AQ79">
        <v>0</v>
      </c>
      <c r="AR79">
        <v>0.66100689878140895</v>
      </c>
      <c r="AS79" t="s">
        <v>83</v>
      </c>
      <c r="AT79" t="s">
        <v>83</v>
      </c>
      <c r="AU79" t="s">
        <v>83</v>
      </c>
      <c r="AV79" t="s">
        <v>83</v>
      </c>
      <c r="AW79" t="s">
        <v>83</v>
      </c>
      <c r="AX79" t="s">
        <v>83</v>
      </c>
      <c r="AY79" t="s">
        <v>83</v>
      </c>
      <c r="AZ79" t="s">
        <v>83</v>
      </c>
      <c r="BA79" t="s">
        <v>83</v>
      </c>
      <c r="BB79" t="s">
        <v>83</v>
      </c>
      <c r="BC79" t="s">
        <v>83</v>
      </c>
      <c r="BD79">
        <v>0.63095734448019303</v>
      </c>
      <c r="BE79" t="s">
        <v>83</v>
      </c>
      <c r="BF79" t="s">
        <v>83</v>
      </c>
      <c r="BG79" t="s">
        <v>83</v>
      </c>
      <c r="BH79" t="s">
        <v>83</v>
      </c>
      <c r="BI79" t="s">
        <v>83</v>
      </c>
      <c r="BJ79" t="s">
        <v>83</v>
      </c>
      <c r="BK79" t="s">
        <v>83</v>
      </c>
      <c r="BL79" t="s">
        <v>83</v>
      </c>
      <c r="BM79">
        <v>79.432823472428097</v>
      </c>
      <c r="BN79" t="s">
        <v>83</v>
      </c>
      <c r="BO79" t="s">
        <v>83</v>
      </c>
      <c r="BP79">
        <v>80.063780816908306</v>
      </c>
      <c r="BQ79">
        <v>1.7</v>
      </c>
    </row>
    <row r="80" spans="1:69" x14ac:dyDescent="0.3">
      <c r="A80">
        <v>21256</v>
      </c>
      <c r="B80">
        <v>2021</v>
      </c>
      <c r="C80">
        <v>249</v>
      </c>
      <c r="D80">
        <v>1901</v>
      </c>
      <c r="E80">
        <v>1</v>
      </c>
      <c r="F80" t="s">
        <v>146</v>
      </c>
      <c r="G80">
        <v>4</v>
      </c>
      <c r="H80">
        <v>2</v>
      </c>
      <c r="I80">
        <v>2</v>
      </c>
      <c r="J80">
        <v>3</v>
      </c>
      <c r="K80">
        <v>67</v>
      </c>
      <c r="L80">
        <v>5.5556000000000001E-2</v>
      </c>
      <c r="M80" t="s">
        <v>83</v>
      </c>
      <c r="N80" t="s">
        <v>83</v>
      </c>
      <c r="O80" t="s">
        <v>83</v>
      </c>
      <c r="P80" t="s">
        <v>83</v>
      </c>
      <c r="Q80">
        <v>-0.8</v>
      </c>
      <c r="R80" t="s">
        <v>83</v>
      </c>
      <c r="S80" t="s">
        <v>83</v>
      </c>
      <c r="T80" t="s">
        <v>83</v>
      </c>
      <c r="U80" t="s">
        <v>83</v>
      </c>
      <c r="V80" t="s">
        <v>83</v>
      </c>
      <c r="W80" t="s">
        <v>83</v>
      </c>
      <c r="X80" t="s">
        <v>83</v>
      </c>
      <c r="Y80" t="s">
        <v>83</v>
      </c>
      <c r="Z80" t="s">
        <v>83</v>
      </c>
      <c r="AA80" t="s">
        <v>83</v>
      </c>
      <c r="AB80" t="s">
        <v>83</v>
      </c>
      <c r="AC80" t="s">
        <v>83</v>
      </c>
      <c r="AD80">
        <v>0.1</v>
      </c>
      <c r="AE80" t="s">
        <v>83</v>
      </c>
      <c r="AF80" t="s">
        <v>83</v>
      </c>
      <c r="AG80" t="s">
        <v>83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2</v>
      </c>
      <c r="AQ80">
        <v>0</v>
      </c>
      <c r="AR80">
        <v>0.38338400129321698</v>
      </c>
      <c r="AS80">
        <v>-0.71121196486504301</v>
      </c>
      <c r="AT80">
        <v>-0.92937002063436902</v>
      </c>
      <c r="AU80" t="s">
        <v>83</v>
      </c>
      <c r="AV80" t="s">
        <v>83</v>
      </c>
      <c r="AW80" t="s">
        <v>83</v>
      </c>
      <c r="AX80" t="s">
        <v>83</v>
      </c>
      <c r="AY80">
        <v>0.15848931924611101</v>
      </c>
      <c r="AZ80" t="s">
        <v>83</v>
      </c>
      <c r="BA80" t="s">
        <v>83</v>
      </c>
      <c r="BB80" t="s">
        <v>83</v>
      </c>
      <c r="BC80" t="s">
        <v>83</v>
      </c>
      <c r="BD80" t="s">
        <v>83</v>
      </c>
      <c r="BE80" t="s">
        <v>83</v>
      </c>
      <c r="BF80" t="s">
        <v>83</v>
      </c>
      <c r="BG80" t="s">
        <v>83</v>
      </c>
      <c r="BH80" t="s">
        <v>83</v>
      </c>
      <c r="BI80" t="s">
        <v>83</v>
      </c>
      <c r="BJ80" t="s">
        <v>83</v>
      </c>
      <c r="BK80" t="s">
        <v>83</v>
      </c>
      <c r="BL80" t="s">
        <v>83</v>
      </c>
      <c r="BM80">
        <v>1.2589254117941699</v>
      </c>
      <c r="BN80" t="s">
        <v>83</v>
      </c>
      <c r="BO80" t="s">
        <v>83</v>
      </c>
      <c r="BP80">
        <v>1.41741473104028</v>
      </c>
      <c r="BQ80">
        <v>-0.7</v>
      </c>
    </row>
    <row r="81" spans="1:69" x14ac:dyDescent="0.3">
      <c r="A81">
        <v>21257</v>
      </c>
      <c r="B81">
        <v>2021</v>
      </c>
      <c r="C81">
        <v>301</v>
      </c>
      <c r="D81">
        <v>304</v>
      </c>
      <c r="E81">
        <v>2</v>
      </c>
      <c r="F81" t="s">
        <v>110</v>
      </c>
      <c r="G81">
        <v>7</v>
      </c>
      <c r="H81">
        <v>2</v>
      </c>
      <c r="I81">
        <v>2</v>
      </c>
      <c r="J81">
        <v>3</v>
      </c>
      <c r="K81">
        <v>67</v>
      </c>
      <c r="L81">
        <v>5.5555559999999997E-2</v>
      </c>
      <c r="M81" t="s">
        <v>83</v>
      </c>
      <c r="N81" t="s">
        <v>83</v>
      </c>
      <c r="O81" t="s">
        <v>83</v>
      </c>
      <c r="P81" t="s">
        <v>83</v>
      </c>
      <c r="Q81" t="s">
        <v>83</v>
      </c>
      <c r="R81" t="s">
        <v>83</v>
      </c>
      <c r="S81">
        <v>-2.2999999999999998</v>
      </c>
      <c r="T81" t="s">
        <v>83</v>
      </c>
      <c r="U81" t="s">
        <v>83</v>
      </c>
      <c r="V81">
        <v>-2.4</v>
      </c>
      <c r="W81" t="s">
        <v>83</v>
      </c>
      <c r="X81" t="s">
        <v>83</v>
      </c>
      <c r="Y81" t="s">
        <v>83</v>
      </c>
      <c r="Z81" t="s">
        <v>83</v>
      </c>
      <c r="AA81" t="s">
        <v>83</v>
      </c>
      <c r="AB81" t="s">
        <v>83</v>
      </c>
      <c r="AC81" t="s">
        <v>83</v>
      </c>
      <c r="AD81">
        <v>-2</v>
      </c>
      <c r="AE81" t="s">
        <v>83</v>
      </c>
      <c r="AF81" t="s">
        <v>83</v>
      </c>
      <c r="AG81" t="s">
        <v>83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3</v>
      </c>
      <c r="AQ81">
        <v>1</v>
      </c>
      <c r="AR81">
        <v>0.38338400129321698</v>
      </c>
      <c r="AS81">
        <v>-0.71121574256651598</v>
      </c>
      <c r="AT81">
        <v>-0.259386125909217</v>
      </c>
      <c r="AU81" t="s">
        <v>83</v>
      </c>
      <c r="AV81" t="s">
        <v>83</v>
      </c>
      <c r="AW81" t="s">
        <v>83</v>
      </c>
      <c r="AX81" t="s">
        <v>83</v>
      </c>
      <c r="AY81" t="s">
        <v>83</v>
      </c>
      <c r="AZ81" t="s">
        <v>83</v>
      </c>
      <c r="BA81">
        <v>5.0118723362727203E-3</v>
      </c>
      <c r="BB81" t="s">
        <v>83</v>
      </c>
      <c r="BC81" t="s">
        <v>83</v>
      </c>
      <c r="BD81">
        <v>3.9810717055349699E-3</v>
      </c>
      <c r="BE81" t="s">
        <v>83</v>
      </c>
      <c r="BF81" t="s">
        <v>83</v>
      </c>
      <c r="BG81" t="s">
        <v>83</v>
      </c>
      <c r="BH81" t="s">
        <v>83</v>
      </c>
      <c r="BI81" t="s">
        <v>83</v>
      </c>
      <c r="BJ81" t="s">
        <v>83</v>
      </c>
      <c r="BK81" t="s">
        <v>83</v>
      </c>
      <c r="BL81" t="s">
        <v>83</v>
      </c>
      <c r="BM81">
        <v>0.01</v>
      </c>
      <c r="BN81" t="s">
        <v>83</v>
      </c>
      <c r="BO81" t="s">
        <v>83</v>
      </c>
      <c r="BP81">
        <v>1.8992944041807701E-2</v>
      </c>
      <c r="BQ81">
        <v>-6.7</v>
      </c>
    </row>
    <row r="82" spans="1:69" x14ac:dyDescent="0.3">
      <c r="A82">
        <v>21258</v>
      </c>
      <c r="B82">
        <v>2021</v>
      </c>
      <c r="C82">
        <v>303</v>
      </c>
      <c r="D82">
        <v>109</v>
      </c>
      <c r="E82">
        <v>2</v>
      </c>
      <c r="F82" t="s">
        <v>95</v>
      </c>
      <c r="G82">
        <v>6</v>
      </c>
      <c r="H82">
        <v>2</v>
      </c>
      <c r="I82">
        <v>2</v>
      </c>
      <c r="J82">
        <v>5</v>
      </c>
      <c r="K82">
        <v>40</v>
      </c>
      <c r="L82">
        <v>0.222222</v>
      </c>
      <c r="M82" t="s">
        <v>83</v>
      </c>
      <c r="N82" t="s">
        <v>83</v>
      </c>
      <c r="O82" t="s">
        <v>83</v>
      </c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83</v>
      </c>
      <c r="V82" t="s">
        <v>83</v>
      </c>
      <c r="W82" t="s">
        <v>83</v>
      </c>
      <c r="X82">
        <v>0.2</v>
      </c>
      <c r="Y82" t="s">
        <v>83</v>
      </c>
      <c r="Z82" t="s">
        <v>83</v>
      </c>
      <c r="AA82" t="s">
        <v>83</v>
      </c>
      <c r="AB82" t="s">
        <v>83</v>
      </c>
      <c r="AC82" t="s">
        <v>83</v>
      </c>
      <c r="AD82">
        <v>0.3</v>
      </c>
      <c r="AE82" t="s">
        <v>83</v>
      </c>
      <c r="AF82" t="s">
        <v>83</v>
      </c>
      <c r="AG82" t="s">
        <v>83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2</v>
      </c>
      <c r="AQ82">
        <v>0</v>
      </c>
      <c r="AR82">
        <v>-0.55359327772942901</v>
      </c>
      <c r="AS82">
        <v>0.71972983906338395</v>
      </c>
      <c r="AT82">
        <v>-0.48271409081760103</v>
      </c>
      <c r="AU82" t="s">
        <v>83</v>
      </c>
      <c r="AV82" t="s">
        <v>83</v>
      </c>
      <c r="AW82" t="s">
        <v>83</v>
      </c>
      <c r="AX82" t="s">
        <v>83</v>
      </c>
      <c r="AY82" t="s">
        <v>83</v>
      </c>
      <c r="AZ82" t="s">
        <v>83</v>
      </c>
      <c r="BA82" t="s">
        <v>83</v>
      </c>
      <c r="BB82" t="s">
        <v>83</v>
      </c>
      <c r="BC82" t="s">
        <v>83</v>
      </c>
      <c r="BD82" t="s">
        <v>83</v>
      </c>
      <c r="BE82" t="s">
        <v>83</v>
      </c>
      <c r="BF82">
        <v>1.58489319246111</v>
      </c>
      <c r="BG82" t="s">
        <v>83</v>
      </c>
      <c r="BH82" t="s">
        <v>83</v>
      </c>
      <c r="BI82" t="s">
        <v>83</v>
      </c>
      <c r="BJ82" t="s">
        <v>83</v>
      </c>
      <c r="BK82" t="s">
        <v>83</v>
      </c>
      <c r="BL82" t="s">
        <v>83</v>
      </c>
      <c r="BM82">
        <v>1.99526231496888</v>
      </c>
      <c r="BN82" t="s">
        <v>83</v>
      </c>
      <c r="BO82" t="s">
        <v>83</v>
      </c>
      <c r="BP82">
        <v>3.58015550742999</v>
      </c>
      <c r="BQ82">
        <v>0.5</v>
      </c>
    </row>
    <row r="83" spans="1:69" x14ac:dyDescent="0.3">
      <c r="A83">
        <v>21259</v>
      </c>
      <c r="B83">
        <v>2021</v>
      </c>
      <c r="C83">
        <v>305</v>
      </c>
      <c r="D83">
        <v>300</v>
      </c>
      <c r="E83">
        <v>2</v>
      </c>
      <c r="F83" t="s">
        <v>141</v>
      </c>
      <c r="G83">
        <v>5</v>
      </c>
      <c r="H83">
        <v>3</v>
      </c>
      <c r="I83">
        <v>4</v>
      </c>
      <c r="J83">
        <v>4</v>
      </c>
      <c r="K83">
        <v>75</v>
      </c>
      <c r="L83">
        <v>0.111111111</v>
      </c>
      <c r="M83" t="s">
        <v>83</v>
      </c>
      <c r="N83" t="s">
        <v>83</v>
      </c>
      <c r="O83" t="s">
        <v>83</v>
      </c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83</v>
      </c>
      <c r="V83" t="s">
        <v>83</v>
      </c>
      <c r="W83" t="s">
        <v>83</v>
      </c>
      <c r="X83" t="s">
        <v>83</v>
      </c>
      <c r="Y83" t="s">
        <v>83</v>
      </c>
      <c r="Z83" t="s">
        <v>83</v>
      </c>
      <c r="AA83" t="s">
        <v>83</v>
      </c>
      <c r="AB83" t="s">
        <v>83</v>
      </c>
      <c r="AC83" t="s">
        <v>83</v>
      </c>
      <c r="AD83">
        <v>0</v>
      </c>
      <c r="AE83" t="s">
        <v>83</v>
      </c>
      <c r="AF83" t="s">
        <v>83</v>
      </c>
      <c r="AG83" t="s">
        <v>83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0.66100689878140895</v>
      </c>
      <c r="AS83">
        <v>-0.23423327243956901</v>
      </c>
      <c r="AT83">
        <v>-0.706042055725985</v>
      </c>
      <c r="AU83" t="s">
        <v>83</v>
      </c>
      <c r="AV83" t="s">
        <v>83</v>
      </c>
      <c r="AW83" t="s">
        <v>83</v>
      </c>
      <c r="AX83" t="s">
        <v>83</v>
      </c>
      <c r="AY83" t="s">
        <v>83</v>
      </c>
      <c r="AZ83" t="s">
        <v>83</v>
      </c>
      <c r="BA83" t="s">
        <v>83</v>
      </c>
      <c r="BB83" t="s">
        <v>83</v>
      </c>
      <c r="BC83" t="s">
        <v>83</v>
      </c>
      <c r="BD83" t="s">
        <v>83</v>
      </c>
      <c r="BE83" t="s">
        <v>83</v>
      </c>
      <c r="BF83" t="s">
        <v>83</v>
      </c>
      <c r="BG83" t="s">
        <v>83</v>
      </c>
      <c r="BH83" t="s">
        <v>83</v>
      </c>
      <c r="BI83" t="s">
        <v>83</v>
      </c>
      <c r="BJ83" t="s">
        <v>83</v>
      </c>
      <c r="BK83" t="s">
        <v>83</v>
      </c>
      <c r="BL83" t="s">
        <v>83</v>
      </c>
      <c r="BM83">
        <v>1</v>
      </c>
      <c r="BN83" t="s">
        <v>83</v>
      </c>
      <c r="BO83" t="s">
        <v>83</v>
      </c>
      <c r="BP83">
        <v>1</v>
      </c>
      <c r="BQ83">
        <v>0</v>
      </c>
    </row>
    <row r="84" spans="1:69" x14ac:dyDescent="0.3">
      <c r="A84">
        <v>21260</v>
      </c>
      <c r="B84">
        <v>2021</v>
      </c>
      <c r="C84">
        <v>343</v>
      </c>
      <c r="D84">
        <v>901</v>
      </c>
      <c r="E84">
        <v>2</v>
      </c>
      <c r="F84" t="s">
        <v>116</v>
      </c>
      <c r="G84">
        <v>20</v>
      </c>
      <c r="H84">
        <v>3</v>
      </c>
      <c r="I84">
        <v>3</v>
      </c>
      <c r="J84">
        <v>5</v>
      </c>
      <c r="K84">
        <v>60</v>
      </c>
      <c r="L84">
        <v>0.16666700000000001</v>
      </c>
      <c r="M84" t="s">
        <v>83</v>
      </c>
      <c r="N84">
        <v>-3.3</v>
      </c>
      <c r="O84">
        <v>-4</v>
      </c>
      <c r="P84">
        <v>-4.9000000000000004</v>
      </c>
      <c r="Q84">
        <v>-3.8</v>
      </c>
      <c r="R84">
        <v>-4.9000000000000004</v>
      </c>
      <c r="S84">
        <v>-2.6</v>
      </c>
      <c r="T84">
        <v>-3.9</v>
      </c>
      <c r="U84" t="s">
        <v>83</v>
      </c>
      <c r="V84">
        <v>-1.7</v>
      </c>
      <c r="W84">
        <v>-3.2</v>
      </c>
      <c r="X84">
        <v>-1.5</v>
      </c>
      <c r="Y84" t="s">
        <v>83</v>
      </c>
      <c r="Z84" t="s">
        <v>83</v>
      </c>
      <c r="AA84">
        <v>-3</v>
      </c>
      <c r="AB84" t="s">
        <v>83</v>
      </c>
      <c r="AC84" t="s">
        <v>83</v>
      </c>
      <c r="AD84">
        <v>-2.5</v>
      </c>
      <c r="AE84">
        <v>-3.3</v>
      </c>
      <c r="AF84" t="s">
        <v>83</v>
      </c>
      <c r="AG84" t="s">
        <v>83</v>
      </c>
      <c r="AH84">
        <v>1</v>
      </c>
      <c r="AI84">
        <v>1</v>
      </c>
      <c r="AJ84">
        <v>1</v>
      </c>
      <c r="AK84">
        <v>0</v>
      </c>
      <c r="AL84">
        <v>1</v>
      </c>
      <c r="AM84">
        <v>1</v>
      </c>
      <c r="AN84">
        <v>1</v>
      </c>
      <c r="AO84">
        <v>0</v>
      </c>
      <c r="AP84">
        <v>6</v>
      </c>
      <c r="AQ84">
        <v>1</v>
      </c>
      <c r="AR84">
        <v>0.14046396599104899</v>
      </c>
      <c r="AS84">
        <v>0.24275209964896399</v>
      </c>
      <c r="AT84">
        <v>2.6438774178997799</v>
      </c>
      <c r="AU84" t="s">
        <v>83</v>
      </c>
      <c r="AV84">
        <v>5.0118723362727296E-4</v>
      </c>
      <c r="AW84" s="1" t="s">
        <v>103</v>
      </c>
      <c r="AX84" s="1" t="s">
        <v>100</v>
      </c>
      <c r="AY84">
        <v>1.5848931924611101E-4</v>
      </c>
      <c r="AZ84" s="1" t="s">
        <v>100</v>
      </c>
      <c r="BA84">
        <v>2.5118864315095799E-3</v>
      </c>
      <c r="BB84">
        <v>1.2589254117941699E-4</v>
      </c>
      <c r="BC84" t="s">
        <v>83</v>
      </c>
      <c r="BD84">
        <v>1.9952623149688799E-2</v>
      </c>
      <c r="BE84">
        <v>6.3095734448019298E-4</v>
      </c>
      <c r="BF84">
        <v>3.1622776601683798E-2</v>
      </c>
      <c r="BG84" t="s">
        <v>83</v>
      </c>
      <c r="BH84" t="s">
        <v>83</v>
      </c>
      <c r="BI84">
        <v>1E-3</v>
      </c>
      <c r="BJ84" t="s">
        <v>83</v>
      </c>
      <c r="BK84" t="s">
        <v>83</v>
      </c>
      <c r="BL84">
        <v>5.0118723362727296E-4</v>
      </c>
      <c r="BM84">
        <v>3.1622776601683798E-3</v>
      </c>
      <c r="BN84" t="s">
        <v>83</v>
      </c>
      <c r="BO84" t="s">
        <v>83</v>
      </c>
      <c r="BP84">
        <v>6.0292456023446697E-2</v>
      </c>
      <c r="BQ84">
        <v>-42.6</v>
      </c>
    </row>
    <row r="85" spans="1:69" x14ac:dyDescent="0.3">
      <c r="A85">
        <v>21261</v>
      </c>
      <c r="B85">
        <v>2021</v>
      </c>
      <c r="C85">
        <v>317</v>
      </c>
      <c r="D85">
        <v>12</v>
      </c>
      <c r="E85">
        <v>2</v>
      </c>
      <c r="F85" t="s">
        <v>85</v>
      </c>
      <c r="G85" t="s">
        <v>83</v>
      </c>
      <c r="H85">
        <v>3</v>
      </c>
      <c r="I85">
        <v>3</v>
      </c>
      <c r="J85">
        <v>3</v>
      </c>
      <c r="K85">
        <v>100</v>
      </c>
      <c r="L85">
        <v>0</v>
      </c>
      <c r="M85" t="s">
        <v>83</v>
      </c>
      <c r="N85" t="s">
        <v>83</v>
      </c>
      <c r="O85" t="s">
        <v>83</v>
      </c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83</v>
      </c>
      <c r="V85" t="s">
        <v>83</v>
      </c>
      <c r="W85" t="s">
        <v>83</v>
      </c>
      <c r="X85" t="s">
        <v>83</v>
      </c>
      <c r="Y85" t="s">
        <v>83</v>
      </c>
      <c r="Z85" t="s">
        <v>83</v>
      </c>
      <c r="AA85" t="s">
        <v>83</v>
      </c>
      <c r="AB85" t="s">
        <v>83</v>
      </c>
      <c r="AC85" t="s">
        <v>83</v>
      </c>
      <c r="AD85">
        <v>0.7</v>
      </c>
      <c r="AE85" t="s">
        <v>83</v>
      </c>
      <c r="AF85" t="s">
        <v>83</v>
      </c>
      <c r="AG85">
        <v>0.3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2</v>
      </c>
      <c r="AQ85">
        <v>0</v>
      </c>
      <c r="AR85">
        <v>1.5285784534320099</v>
      </c>
      <c r="AS85">
        <v>-1.18819828996463</v>
      </c>
      <c r="AT85" t="s">
        <v>83</v>
      </c>
      <c r="AU85" t="s">
        <v>83</v>
      </c>
      <c r="AV85" t="s">
        <v>83</v>
      </c>
      <c r="AW85" t="s">
        <v>83</v>
      </c>
      <c r="AX85" t="s">
        <v>83</v>
      </c>
      <c r="AY85" t="s">
        <v>83</v>
      </c>
      <c r="AZ85" t="s">
        <v>83</v>
      </c>
      <c r="BA85" t="s">
        <v>83</v>
      </c>
      <c r="BB85" t="s">
        <v>83</v>
      </c>
      <c r="BC85" t="s">
        <v>83</v>
      </c>
      <c r="BD85" t="s">
        <v>83</v>
      </c>
      <c r="BE85" t="s">
        <v>83</v>
      </c>
      <c r="BF85" t="s">
        <v>83</v>
      </c>
      <c r="BG85" t="s">
        <v>83</v>
      </c>
      <c r="BH85" t="s">
        <v>83</v>
      </c>
      <c r="BI85" t="s">
        <v>83</v>
      </c>
      <c r="BJ85" t="s">
        <v>83</v>
      </c>
      <c r="BK85" t="s">
        <v>83</v>
      </c>
      <c r="BL85" t="s">
        <v>83</v>
      </c>
      <c r="BM85">
        <v>5.0118723362727202</v>
      </c>
      <c r="BN85" t="s">
        <v>83</v>
      </c>
      <c r="BO85">
        <v>1.99526231496888</v>
      </c>
      <c r="BP85">
        <v>7.0071346512416</v>
      </c>
      <c r="BQ85">
        <v>1</v>
      </c>
    </row>
    <row r="86" spans="1:69" x14ac:dyDescent="0.3">
      <c r="A86">
        <v>21262</v>
      </c>
      <c r="B86">
        <v>2021</v>
      </c>
      <c r="C86">
        <v>313</v>
      </c>
      <c r="D86">
        <v>1908</v>
      </c>
      <c r="E86">
        <v>2</v>
      </c>
      <c r="F86" t="s">
        <v>139</v>
      </c>
      <c r="G86">
        <v>13.5</v>
      </c>
      <c r="H86">
        <v>3</v>
      </c>
      <c r="I86">
        <v>5</v>
      </c>
      <c r="J86">
        <v>5</v>
      </c>
      <c r="K86">
        <v>60</v>
      </c>
      <c r="L86">
        <v>8.3333334999999994E-2</v>
      </c>
      <c r="M86" t="s">
        <v>83</v>
      </c>
      <c r="N86" t="s">
        <v>83</v>
      </c>
      <c r="O86" t="s">
        <v>83</v>
      </c>
      <c r="P86" t="s">
        <v>83</v>
      </c>
      <c r="Q86" t="s">
        <v>83</v>
      </c>
      <c r="R86" t="s">
        <v>83</v>
      </c>
      <c r="S86">
        <v>0</v>
      </c>
      <c r="T86" t="s">
        <v>83</v>
      </c>
      <c r="U86" t="s">
        <v>83</v>
      </c>
      <c r="V86">
        <v>0</v>
      </c>
      <c r="W86" t="s">
        <v>83</v>
      </c>
      <c r="X86" t="s">
        <v>83</v>
      </c>
      <c r="Y86" t="s">
        <v>83</v>
      </c>
      <c r="Z86" t="s">
        <v>83</v>
      </c>
      <c r="AA86" t="s">
        <v>83</v>
      </c>
      <c r="AB86" t="s">
        <v>83</v>
      </c>
      <c r="AC86" t="s">
        <v>83</v>
      </c>
      <c r="AD86">
        <v>1.9</v>
      </c>
      <c r="AE86" t="s">
        <v>83</v>
      </c>
      <c r="AF86" t="s">
        <v>83</v>
      </c>
      <c r="AG86" t="s">
        <v>83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3</v>
      </c>
      <c r="AQ86">
        <v>1</v>
      </c>
      <c r="AR86">
        <v>0.14046396599104899</v>
      </c>
      <c r="AS86">
        <v>-0.47272451179588498</v>
      </c>
      <c r="AT86">
        <v>1.1922456459952799</v>
      </c>
      <c r="AU86" t="s">
        <v>83</v>
      </c>
      <c r="AV86" t="s">
        <v>83</v>
      </c>
      <c r="AW86" t="s">
        <v>83</v>
      </c>
      <c r="AX86" t="s">
        <v>83</v>
      </c>
      <c r="AY86" t="s">
        <v>83</v>
      </c>
      <c r="AZ86" t="s">
        <v>83</v>
      </c>
      <c r="BA86">
        <v>1</v>
      </c>
      <c r="BB86" t="s">
        <v>83</v>
      </c>
      <c r="BC86" t="s">
        <v>83</v>
      </c>
      <c r="BD86">
        <v>1</v>
      </c>
      <c r="BE86" t="s">
        <v>83</v>
      </c>
      <c r="BF86" t="s">
        <v>83</v>
      </c>
      <c r="BG86" t="s">
        <v>83</v>
      </c>
      <c r="BH86" t="s">
        <v>83</v>
      </c>
      <c r="BI86" t="s">
        <v>83</v>
      </c>
      <c r="BJ86" t="s">
        <v>83</v>
      </c>
      <c r="BK86" t="s">
        <v>83</v>
      </c>
      <c r="BL86" t="s">
        <v>83</v>
      </c>
      <c r="BM86">
        <v>79.432823472428097</v>
      </c>
      <c r="BN86" t="s">
        <v>83</v>
      </c>
      <c r="BO86" t="s">
        <v>83</v>
      </c>
      <c r="BP86">
        <v>81.432823472428097</v>
      </c>
      <c r="BQ86">
        <v>1.9</v>
      </c>
    </row>
    <row r="87" spans="1:69" x14ac:dyDescent="0.3">
      <c r="A87">
        <v>21263</v>
      </c>
      <c r="B87">
        <v>2021</v>
      </c>
      <c r="C87">
        <v>319</v>
      </c>
      <c r="D87">
        <v>10</v>
      </c>
      <c r="E87">
        <v>2</v>
      </c>
      <c r="F87" t="s">
        <v>143</v>
      </c>
      <c r="G87">
        <v>7</v>
      </c>
      <c r="H87">
        <v>2</v>
      </c>
      <c r="I87">
        <v>3</v>
      </c>
      <c r="J87">
        <v>4</v>
      </c>
      <c r="K87">
        <v>50</v>
      </c>
      <c r="L87">
        <v>0.111111115</v>
      </c>
      <c r="M87" t="s">
        <v>83</v>
      </c>
      <c r="N87" t="s">
        <v>83</v>
      </c>
      <c r="O87" t="s">
        <v>83</v>
      </c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83</v>
      </c>
      <c r="V87" t="s">
        <v>83</v>
      </c>
      <c r="W87" t="s">
        <v>83</v>
      </c>
      <c r="X87" t="s">
        <v>83</v>
      </c>
      <c r="Y87" t="s">
        <v>83</v>
      </c>
      <c r="Z87" t="s">
        <v>83</v>
      </c>
      <c r="AA87" t="s">
        <v>83</v>
      </c>
      <c r="AB87" t="s">
        <v>83</v>
      </c>
      <c r="AC87" t="s">
        <v>83</v>
      </c>
      <c r="AD87">
        <v>1.3</v>
      </c>
      <c r="AE87" t="s">
        <v>83</v>
      </c>
      <c r="AF87" t="s">
        <v>83</v>
      </c>
      <c r="AG87">
        <v>-0.9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2</v>
      </c>
      <c r="AQ87">
        <v>0</v>
      </c>
      <c r="AR87">
        <v>-0.20656465586919001</v>
      </c>
      <c r="AS87">
        <v>-0.234233238096828</v>
      </c>
      <c r="AT87">
        <v>-0.259386125909217</v>
      </c>
      <c r="AU87" t="s">
        <v>83</v>
      </c>
      <c r="AV87" t="s">
        <v>83</v>
      </c>
      <c r="AW87" t="s">
        <v>83</v>
      </c>
      <c r="AX87" t="s">
        <v>83</v>
      </c>
      <c r="AY87" t="s">
        <v>83</v>
      </c>
      <c r="AZ87" t="s">
        <v>83</v>
      </c>
      <c r="BA87" t="s">
        <v>83</v>
      </c>
      <c r="BB87" t="s">
        <v>83</v>
      </c>
      <c r="BC87" t="s">
        <v>83</v>
      </c>
      <c r="BD87" t="s">
        <v>83</v>
      </c>
      <c r="BE87" t="s">
        <v>83</v>
      </c>
      <c r="BF87" t="s">
        <v>83</v>
      </c>
      <c r="BG87" t="s">
        <v>83</v>
      </c>
      <c r="BH87" t="s">
        <v>83</v>
      </c>
      <c r="BI87" t="s">
        <v>83</v>
      </c>
      <c r="BJ87" t="s">
        <v>83</v>
      </c>
      <c r="BK87" t="s">
        <v>83</v>
      </c>
      <c r="BL87" t="s">
        <v>83</v>
      </c>
      <c r="BM87">
        <v>19.952623149688801</v>
      </c>
      <c r="BN87" t="s">
        <v>83</v>
      </c>
      <c r="BO87">
        <v>0.12589254117941701</v>
      </c>
      <c r="BP87">
        <v>20.078515690868201</v>
      </c>
      <c r="BQ87">
        <v>0.4</v>
      </c>
    </row>
    <row r="88" spans="1:69" x14ac:dyDescent="0.3">
      <c r="A88">
        <v>21264</v>
      </c>
      <c r="B88">
        <v>2021</v>
      </c>
      <c r="C88">
        <v>233</v>
      </c>
      <c r="D88" t="s">
        <v>130</v>
      </c>
      <c r="E88">
        <v>1</v>
      </c>
      <c r="F88" t="s">
        <v>83</v>
      </c>
      <c r="G88" t="s">
        <v>83</v>
      </c>
      <c r="H88">
        <v>0</v>
      </c>
      <c r="I88">
        <v>0</v>
      </c>
      <c r="J88">
        <v>1</v>
      </c>
      <c r="K88">
        <v>0</v>
      </c>
      <c r="L88" t="s">
        <v>83</v>
      </c>
      <c r="M88" t="s">
        <v>83</v>
      </c>
      <c r="N88" t="s">
        <v>83</v>
      </c>
      <c r="O88" t="s">
        <v>83</v>
      </c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83</v>
      </c>
      <c r="V88" t="s">
        <v>83</v>
      </c>
      <c r="W88" t="s">
        <v>83</v>
      </c>
      <c r="X88" t="s">
        <v>83</v>
      </c>
      <c r="Y88" t="s">
        <v>83</v>
      </c>
      <c r="Z88" t="s">
        <v>83</v>
      </c>
      <c r="AA88" t="s">
        <v>83</v>
      </c>
      <c r="AB88" t="s">
        <v>83</v>
      </c>
      <c r="AC88" t="s">
        <v>83</v>
      </c>
      <c r="AD88">
        <v>2.1</v>
      </c>
      <c r="AE88" t="s">
        <v>83</v>
      </c>
      <c r="AF88" t="s">
        <v>83</v>
      </c>
      <c r="AG88">
        <v>0.4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2</v>
      </c>
      <c r="AQ88">
        <v>0</v>
      </c>
      <c r="AR88">
        <v>-1.94170776517039</v>
      </c>
      <c r="AS88" t="s">
        <v>83</v>
      </c>
      <c r="AT88" t="s">
        <v>83</v>
      </c>
      <c r="AU88" t="s">
        <v>83</v>
      </c>
      <c r="AV88" t="s">
        <v>83</v>
      </c>
      <c r="AW88" t="s">
        <v>83</v>
      </c>
      <c r="AX88" t="s">
        <v>83</v>
      </c>
      <c r="AY88" t="s">
        <v>83</v>
      </c>
      <c r="AZ88" t="s">
        <v>83</v>
      </c>
      <c r="BA88" t="s">
        <v>83</v>
      </c>
      <c r="BB88" t="s">
        <v>83</v>
      </c>
      <c r="BC88" t="s">
        <v>83</v>
      </c>
      <c r="BD88" t="s">
        <v>83</v>
      </c>
      <c r="BE88" t="s">
        <v>83</v>
      </c>
      <c r="BF88" t="s">
        <v>83</v>
      </c>
      <c r="BG88" t="s">
        <v>83</v>
      </c>
      <c r="BH88" t="s">
        <v>83</v>
      </c>
      <c r="BI88" t="s">
        <v>83</v>
      </c>
      <c r="BJ88" t="s">
        <v>83</v>
      </c>
      <c r="BK88" t="s">
        <v>83</v>
      </c>
      <c r="BL88" t="s">
        <v>83</v>
      </c>
      <c r="BM88">
        <v>125.89254117941699</v>
      </c>
      <c r="BN88" t="s">
        <v>83</v>
      </c>
      <c r="BO88">
        <v>2.5118864315095801</v>
      </c>
      <c r="BP88">
        <v>128.40442761092601</v>
      </c>
      <c r="BQ88">
        <v>2.5</v>
      </c>
    </row>
    <row r="89" spans="1:69" x14ac:dyDescent="0.3">
      <c r="A89">
        <v>21265</v>
      </c>
      <c r="B89">
        <v>2021</v>
      </c>
      <c r="C89">
        <v>205</v>
      </c>
      <c r="D89" t="s">
        <v>127</v>
      </c>
      <c r="E89">
        <v>1</v>
      </c>
      <c r="F89" t="s">
        <v>128</v>
      </c>
      <c r="G89">
        <v>7</v>
      </c>
      <c r="H89">
        <v>4</v>
      </c>
      <c r="I89">
        <v>4</v>
      </c>
      <c r="J89">
        <v>5</v>
      </c>
      <c r="K89">
        <v>80</v>
      </c>
      <c r="L89">
        <v>0.44444400000000001</v>
      </c>
      <c r="M89" t="s">
        <v>83</v>
      </c>
      <c r="N89" t="s">
        <v>83</v>
      </c>
      <c r="O89">
        <v>-1.2</v>
      </c>
      <c r="P89" t="s">
        <v>83</v>
      </c>
      <c r="Q89">
        <v>0.1</v>
      </c>
      <c r="R89" t="s">
        <v>83</v>
      </c>
      <c r="S89" t="s">
        <v>83</v>
      </c>
      <c r="T89" t="s">
        <v>83</v>
      </c>
      <c r="U89" t="s">
        <v>83</v>
      </c>
      <c r="V89" t="s">
        <v>83</v>
      </c>
      <c r="W89" t="s">
        <v>83</v>
      </c>
      <c r="X89" t="s">
        <v>83</v>
      </c>
      <c r="Y89" t="s">
        <v>83</v>
      </c>
      <c r="Z89" t="s">
        <v>83</v>
      </c>
      <c r="AA89" t="s">
        <v>83</v>
      </c>
      <c r="AB89" t="s">
        <v>83</v>
      </c>
      <c r="AC89" t="s">
        <v>83</v>
      </c>
      <c r="AD89">
        <v>-0.7</v>
      </c>
      <c r="AE89" t="s">
        <v>83</v>
      </c>
      <c r="AF89" t="s">
        <v>83</v>
      </c>
      <c r="AG89" t="s">
        <v>83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2</v>
      </c>
      <c r="AQ89">
        <v>0</v>
      </c>
      <c r="AR89">
        <v>0.83452120971152799</v>
      </c>
      <c r="AS89">
        <v>2.6276579680914001</v>
      </c>
      <c r="AT89">
        <v>-0.259386125909217</v>
      </c>
      <c r="AU89" t="s">
        <v>83</v>
      </c>
      <c r="AV89" t="s">
        <v>83</v>
      </c>
      <c r="AW89">
        <v>6.3095734448019303E-2</v>
      </c>
      <c r="AX89" t="s">
        <v>83</v>
      </c>
      <c r="AY89">
        <v>1.2589254117941699</v>
      </c>
      <c r="AZ89" t="s">
        <v>83</v>
      </c>
      <c r="BA89" t="s">
        <v>83</v>
      </c>
      <c r="BB89" t="s">
        <v>83</v>
      </c>
      <c r="BC89" t="s">
        <v>83</v>
      </c>
      <c r="BD89" t="s">
        <v>83</v>
      </c>
      <c r="BE89" t="s">
        <v>83</v>
      </c>
      <c r="BF89" t="s">
        <v>83</v>
      </c>
      <c r="BG89" t="s">
        <v>83</v>
      </c>
      <c r="BH89" t="s">
        <v>83</v>
      </c>
      <c r="BI89" t="s">
        <v>83</v>
      </c>
      <c r="BJ89" t="s">
        <v>83</v>
      </c>
      <c r="BK89" t="s">
        <v>83</v>
      </c>
      <c r="BL89" t="s">
        <v>83</v>
      </c>
      <c r="BM89">
        <v>0.199526231496888</v>
      </c>
      <c r="BN89" t="s">
        <v>83</v>
      </c>
      <c r="BO89" t="s">
        <v>83</v>
      </c>
      <c r="BP89">
        <v>1.52154737773907</v>
      </c>
      <c r="BQ89">
        <v>-1.8</v>
      </c>
    </row>
    <row r="90" spans="1:69" x14ac:dyDescent="0.3">
      <c r="A90">
        <v>21266</v>
      </c>
      <c r="B90">
        <v>2021</v>
      </c>
      <c r="C90">
        <v>299</v>
      </c>
      <c r="D90">
        <v>35</v>
      </c>
      <c r="E90">
        <v>2</v>
      </c>
      <c r="F90" t="s">
        <v>93</v>
      </c>
      <c r="G90">
        <v>6</v>
      </c>
      <c r="H90">
        <v>3</v>
      </c>
      <c r="I90">
        <v>3</v>
      </c>
      <c r="J90">
        <v>4</v>
      </c>
      <c r="K90">
        <v>75</v>
      </c>
      <c r="L90">
        <v>0.16666666499999999</v>
      </c>
      <c r="M90" t="s">
        <v>83</v>
      </c>
      <c r="N90" t="s">
        <v>83</v>
      </c>
      <c r="O90">
        <v>-1.3</v>
      </c>
      <c r="P90" t="s">
        <v>83</v>
      </c>
      <c r="Q90" t="s">
        <v>83</v>
      </c>
      <c r="R90" t="s">
        <v>83</v>
      </c>
      <c r="S90">
        <v>-0.4</v>
      </c>
      <c r="T90" t="s">
        <v>83</v>
      </c>
      <c r="U90" t="s">
        <v>83</v>
      </c>
      <c r="V90" t="s">
        <v>83</v>
      </c>
      <c r="W90" t="s">
        <v>83</v>
      </c>
      <c r="X90" t="s">
        <v>83</v>
      </c>
      <c r="Y90" t="s">
        <v>83</v>
      </c>
      <c r="Z90" t="s">
        <v>83</v>
      </c>
      <c r="AA90" t="s">
        <v>83</v>
      </c>
      <c r="AB90" t="s">
        <v>83</v>
      </c>
      <c r="AC90" t="s">
        <v>83</v>
      </c>
      <c r="AD90">
        <v>2</v>
      </c>
      <c r="AE90" t="s">
        <v>83</v>
      </c>
      <c r="AF90" t="s">
        <v>83</v>
      </c>
      <c r="AG90">
        <v>-0.4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3</v>
      </c>
      <c r="AQ90">
        <v>1</v>
      </c>
      <c r="AR90">
        <v>0.66100689878140895</v>
      </c>
      <c r="AS90">
        <v>0.242749223444433</v>
      </c>
      <c r="AT90">
        <v>-0.48271409081760103</v>
      </c>
      <c r="AU90" t="s">
        <v>83</v>
      </c>
      <c r="AV90" t="s">
        <v>83</v>
      </c>
      <c r="AW90">
        <v>5.0118723362727199E-2</v>
      </c>
      <c r="AX90" t="s">
        <v>83</v>
      </c>
      <c r="AY90" t="s">
        <v>83</v>
      </c>
      <c r="AZ90" t="s">
        <v>83</v>
      </c>
      <c r="BA90">
        <v>0.39810717055349698</v>
      </c>
      <c r="BB90" t="s">
        <v>83</v>
      </c>
      <c r="BC90" t="s">
        <v>83</v>
      </c>
      <c r="BD90" t="s">
        <v>83</v>
      </c>
      <c r="BE90" t="s">
        <v>83</v>
      </c>
      <c r="BF90" t="s">
        <v>83</v>
      </c>
      <c r="BG90" t="s">
        <v>83</v>
      </c>
      <c r="BH90" t="s">
        <v>83</v>
      </c>
      <c r="BI90" t="s">
        <v>83</v>
      </c>
      <c r="BJ90" t="s">
        <v>83</v>
      </c>
      <c r="BK90" t="s">
        <v>83</v>
      </c>
      <c r="BL90" t="s">
        <v>83</v>
      </c>
      <c r="BM90">
        <v>100</v>
      </c>
      <c r="BN90" t="s">
        <v>83</v>
      </c>
      <c r="BO90">
        <v>0.39810717055349698</v>
      </c>
      <c r="BP90">
        <v>100.84633306447</v>
      </c>
      <c r="BQ90">
        <v>-0.1</v>
      </c>
    </row>
    <row r="91" spans="1:69" x14ac:dyDescent="0.3">
      <c r="A91">
        <v>21267</v>
      </c>
      <c r="B91">
        <v>2021</v>
      </c>
      <c r="C91">
        <v>297</v>
      </c>
      <c r="D91">
        <v>34</v>
      </c>
      <c r="E91">
        <v>2</v>
      </c>
      <c r="F91" t="s">
        <v>90</v>
      </c>
      <c r="G91">
        <v>11</v>
      </c>
      <c r="H91">
        <v>4</v>
      </c>
      <c r="I91">
        <v>4</v>
      </c>
      <c r="J91">
        <v>5</v>
      </c>
      <c r="K91">
        <v>80</v>
      </c>
      <c r="L91">
        <v>5.5555559999999997E-2</v>
      </c>
      <c r="M91" t="s">
        <v>83</v>
      </c>
      <c r="N91" t="s">
        <v>83</v>
      </c>
      <c r="O91" t="s">
        <v>83</v>
      </c>
      <c r="P91" t="s">
        <v>83</v>
      </c>
      <c r="Q91" t="s">
        <v>83</v>
      </c>
      <c r="R91" t="s">
        <v>83</v>
      </c>
      <c r="S91">
        <v>0</v>
      </c>
      <c r="T91" t="s">
        <v>83</v>
      </c>
      <c r="U91" t="s">
        <v>83</v>
      </c>
      <c r="V91" t="s">
        <v>83</v>
      </c>
      <c r="W91" t="s">
        <v>83</v>
      </c>
      <c r="X91" t="s">
        <v>83</v>
      </c>
      <c r="Y91" t="s">
        <v>83</v>
      </c>
      <c r="Z91" t="s">
        <v>83</v>
      </c>
      <c r="AA91" t="s">
        <v>83</v>
      </c>
      <c r="AB91" t="s">
        <v>83</v>
      </c>
      <c r="AC91" t="s">
        <v>83</v>
      </c>
      <c r="AD91">
        <v>0.7</v>
      </c>
      <c r="AE91" t="s">
        <v>83</v>
      </c>
      <c r="AF91" t="s">
        <v>83</v>
      </c>
      <c r="AG91" t="s">
        <v>83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2</v>
      </c>
      <c r="AQ91">
        <v>0</v>
      </c>
      <c r="AR91">
        <v>0.83452120971152799</v>
      </c>
      <c r="AS91">
        <v>-0.71121574256651598</v>
      </c>
      <c r="AT91">
        <v>0.63392573372431904</v>
      </c>
      <c r="AU91" t="s">
        <v>83</v>
      </c>
      <c r="AV91" t="s">
        <v>83</v>
      </c>
      <c r="AW91" t="s">
        <v>83</v>
      </c>
      <c r="AX91" t="s">
        <v>83</v>
      </c>
      <c r="AY91" t="s">
        <v>83</v>
      </c>
      <c r="AZ91" t="s">
        <v>83</v>
      </c>
      <c r="BA91">
        <v>1</v>
      </c>
      <c r="BB91" t="s">
        <v>83</v>
      </c>
      <c r="BC91" t="s">
        <v>83</v>
      </c>
      <c r="BD91" t="s">
        <v>83</v>
      </c>
      <c r="BE91" t="s">
        <v>83</v>
      </c>
      <c r="BF91" t="s">
        <v>83</v>
      </c>
      <c r="BG91" t="s">
        <v>83</v>
      </c>
      <c r="BH91" t="s">
        <v>83</v>
      </c>
      <c r="BI91" t="s">
        <v>83</v>
      </c>
      <c r="BJ91" t="s">
        <v>83</v>
      </c>
      <c r="BK91" t="s">
        <v>83</v>
      </c>
      <c r="BL91" t="s">
        <v>83</v>
      </c>
      <c r="BM91">
        <v>5.0118723362727202</v>
      </c>
      <c r="BN91" t="s">
        <v>83</v>
      </c>
      <c r="BO91" t="s">
        <v>83</v>
      </c>
      <c r="BP91">
        <v>6.0118723362727202</v>
      </c>
      <c r="BQ91">
        <v>0.7</v>
      </c>
    </row>
    <row r="92" spans="1:69" x14ac:dyDescent="0.3">
      <c r="A92">
        <v>21268</v>
      </c>
      <c r="B92">
        <v>2021</v>
      </c>
      <c r="C92">
        <v>295</v>
      </c>
      <c r="D92">
        <v>952</v>
      </c>
      <c r="E92">
        <v>2</v>
      </c>
      <c r="F92" t="s">
        <v>142</v>
      </c>
      <c r="G92" t="s">
        <v>83</v>
      </c>
      <c r="H92">
        <v>2</v>
      </c>
      <c r="I92">
        <v>5</v>
      </c>
      <c r="J92">
        <v>6</v>
      </c>
      <c r="K92">
        <v>33</v>
      </c>
      <c r="L92">
        <v>0</v>
      </c>
      <c r="M92" t="s">
        <v>83</v>
      </c>
      <c r="N92" t="s">
        <v>83</v>
      </c>
      <c r="O92">
        <v>-2.2999999999999998</v>
      </c>
      <c r="P92" t="s">
        <v>83</v>
      </c>
      <c r="Q92" t="s">
        <v>83</v>
      </c>
      <c r="R92" t="s">
        <v>83</v>
      </c>
      <c r="S92">
        <v>-1</v>
      </c>
      <c r="T92" t="s">
        <v>83</v>
      </c>
      <c r="U92" t="s">
        <v>83</v>
      </c>
      <c r="V92">
        <v>-0.9</v>
      </c>
      <c r="W92" t="s">
        <v>83</v>
      </c>
      <c r="X92">
        <v>-0.8</v>
      </c>
      <c r="Y92" t="s">
        <v>83</v>
      </c>
      <c r="Z92" t="s">
        <v>83</v>
      </c>
      <c r="AA92" t="s">
        <v>83</v>
      </c>
      <c r="AB92" t="s">
        <v>83</v>
      </c>
      <c r="AC92" t="s">
        <v>83</v>
      </c>
      <c r="AD92">
        <v>0.1</v>
      </c>
      <c r="AE92" t="s">
        <v>83</v>
      </c>
      <c r="AF92" t="s">
        <v>83</v>
      </c>
      <c r="AG92" t="s">
        <v>83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4</v>
      </c>
      <c r="AQ92">
        <v>1</v>
      </c>
      <c r="AR92">
        <v>-0.796513313031597</v>
      </c>
      <c r="AS92">
        <v>-1.18819828996463</v>
      </c>
      <c r="AT92" t="s">
        <v>83</v>
      </c>
      <c r="AU92" t="s">
        <v>83</v>
      </c>
      <c r="AV92" t="s">
        <v>83</v>
      </c>
      <c r="AW92">
        <v>5.0118723362727203E-3</v>
      </c>
      <c r="AX92" t="s">
        <v>83</v>
      </c>
      <c r="AY92" t="s">
        <v>83</v>
      </c>
      <c r="AZ92" t="s">
        <v>83</v>
      </c>
      <c r="BA92">
        <v>0.1</v>
      </c>
      <c r="BB92" t="s">
        <v>83</v>
      </c>
      <c r="BC92" t="s">
        <v>83</v>
      </c>
      <c r="BD92">
        <v>0.12589254117941701</v>
      </c>
      <c r="BE92" t="s">
        <v>83</v>
      </c>
      <c r="BF92">
        <v>0.15848931924611101</v>
      </c>
      <c r="BG92" t="s">
        <v>83</v>
      </c>
      <c r="BH92" t="s">
        <v>83</v>
      </c>
      <c r="BI92" t="s">
        <v>83</v>
      </c>
      <c r="BJ92" t="s">
        <v>83</v>
      </c>
      <c r="BK92" t="s">
        <v>83</v>
      </c>
      <c r="BL92" t="s">
        <v>83</v>
      </c>
      <c r="BM92">
        <v>1.2589254117941699</v>
      </c>
      <c r="BN92" t="s">
        <v>83</v>
      </c>
      <c r="BO92" t="s">
        <v>83</v>
      </c>
      <c r="BP92">
        <v>1.64831914455597</v>
      </c>
      <c r="BQ92">
        <v>-4.9000000000000004</v>
      </c>
    </row>
    <row r="93" spans="1:69" x14ac:dyDescent="0.3">
      <c r="A93">
        <v>21269</v>
      </c>
      <c r="B93">
        <v>2021</v>
      </c>
      <c r="C93">
        <v>291</v>
      </c>
      <c r="D93">
        <v>157</v>
      </c>
      <c r="E93">
        <v>2</v>
      </c>
      <c r="F93" t="s">
        <v>138</v>
      </c>
      <c r="G93">
        <v>10</v>
      </c>
      <c r="H93">
        <v>3</v>
      </c>
      <c r="I93">
        <v>3</v>
      </c>
      <c r="J93">
        <v>5</v>
      </c>
      <c r="K93">
        <v>60</v>
      </c>
      <c r="L93">
        <v>0.27777777999999997</v>
      </c>
      <c r="M93" t="s">
        <v>83</v>
      </c>
      <c r="N93" t="s">
        <v>83</v>
      </c>
      <c r="O93">
        <v>-1.3</v>
      </c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83</v>
      </c>
      <c r="V93" t="s">
        <v>83</v>
      </c>
      <c r="W93" t="s">
        <v>83</v>
      </c>
      <c r="X93" t="s">
        <v>83</v>
      </c>
      <c r="Y93" t="s">
        <v>83</v>
      </c>
      <c r="Z93" t="s">
        <v>83</v>
      </c>
      <c r="AA93" t="s">
        <v>83</v>
      </c>
      <c r="AB93" t="s">
        <v>83</v>
      </c>
      <c r="AC93" t="s">
        <v>83</v>
      </c>
      <c r="AD93">
        <v>0.7</v>
      </c>
      <c r="AE93" t="s">
        <v>83</v>
      </c>
      <c r="AF93" t="s">
        <v>83</v>
      </c>
      <c r="AG93" t="s">
        <v>83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2</v>
      </c>
      <c r="AQ93">
        <v>0</v>
      </c>
      <c r="AR93">
        <v>0.14046396599104899</v>
      </c>
      <c r="AS93">
        <v>1.19671427531223</v>
      </c>
      <c r="AT93">
        <v>0.41059776881593502</v>
      </c>
      <c r="AU93" t="s">
        <v>83</v>
      </c>
      <c r="AV93" t="s">
        <v>83</v>
      </c>
      <c r="AW93">
        <v>5.0118723362727199E-2</v>
      </c>
      <c r="AX93" t="s">
        <v>83</v>
      </c>
      <c r="AY93" t="s">
        <v>83</v>
      </c>
      <c r="AZ93" t="s">
        <v>83</v>
      </c>
      <c r="BA93" t="s">
        <v>83</v>
      </c>
      <c r="BB93" t="s">
        <v>83</v>
      </c>
      <c r="BC93" t="s">
        <v>83</v>
      </c>
      <c r="BD93" t="s">
        <v>83</v>
      </c>
      <c r="BE93" t="s">
        <v>83</v>
      </c>
      <c r="BF93" t="s">
        <v>83</v>
      </c>
      <c r="BG93" t="s">
        <v>83</v>
      </c>
      <c r="BH93" t="s">
        <v>83</v>
      </c>
      <c r="BI93" t="s">
        <v>83</v>
      </c>
      <c r="BJ93" t="s">
        <v>83</v>
      </c>
      <c r="BK93" t="s">
        <v>83</v>
      </c>
      <c r="BL93" t="s">
        <v>83</v>
      </c>
      <c r="BM93">
        <v>5.0118723362727202</v>
      </c>
      <c r="BN93" t="s">
        <v>83</v>
      </c>
      <c r="BO93" t="s">
        <v>83</v>
      </c>
      <c r="BP93">
        <v>5.0619910596354503</v>
      </c>
      <c r="BQ93">
        <v>-0.6</v>
      </c>
    </row>
    <row r="94" spans="1:69" x14ac:dyDescent="0.3">
      <c r="A94">
        <v>21270</v>
      </c>
      <c r="B94">
        <v>2021</v>
      </c>
      <c r="C94">
        <v>357</v>
      </c>
      <c r="D94">
        <v>911</v>
      </c>
      <c r="E94">
        <v>2</v>
      </c>
      <c r="F94" t="s">
        <v>118</v>
      </c>
      <c r="G94">
        <v>6</v>
      </c>
      <c r="H94">
        <v>1</v>
      </c>
      <c r="I94">
        <v>1</v>
      </c>
      <c r="J94">
        <v>4</v>
      </c>
      <c r="K94">
        <v>25</v>
      </c>
      <c r="L94">
        <v>0.27777800000000002</v>
      </c>
      <c r="M94" t="s">
        <v>83</v>
      </c>
      <c r="N94">
        <v>-2.4</v>
      </c>
      <c r="O94" t="s">
        <v>83</v>
      </c>
      <c r="P94">
        <v>-3.1</v>
      </c>
      <c r="Q94" t="s">
        <v>83</v>
      </c>
      <c r="R94" t="s">
        <v>83</v>
      </c>
      <c r="S94">
        <v>-2</v>
      </c>
      <c r="T94" t="s">
        <v>83</v>
      </c>
      <c r="U94" t="s">
        <v>83</v>
      </c>
      <c r="V94">
        <v>-2.2999999999999998</v>
      </c>
      <c r="W94">
        <v>-3.5</v>
      </c>
      <c r="X94" t="s">
        <v>83</v>
      </c>
      <c r="Y94" t="s">
        <v>83</v>
      </c>
      <c r="Z94" t="s">
        <v>83</v>
      </c>
      <c r="AA94" t="s">
        <v>83</v>
      </c>
      <c r="AB94" t="s">
        <v>83</v>
      </c>
      <c r="AC94" t="s">
        <v>83</v>
      </c>
      <c r="AD94">
        <v>-2</v>
      </c>
      <c r="AE94" t="s">
        <v>83</v>
      </c>
      <c r="AF94" t="s">
        <v>83</v>
      </c>
      <c r="AG94" t="s">
        <v>83</v>
      </c>
      <c r="AH94">
        <v>1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4</v>
      </c>
      <c r="AQ94">
        <v>1</v>
      </c>
      <c r="AR94">
        <v>-1.07413621051979</v>
      </c>
      <c r="AS94">
        <v>1.19671616416297</v>
      </c>
      <c r="AT94">
        <v>-0.48271409081760103</v>
      </c>
      <c r="AU94" t="s">
        <v>83</v>
      </c>
      <c r="AV94">
        <v>3.9810717055349699E-3</v>
      </c>
      <c r="AW94" t="s">
        <v>83</v>
      </c>
      <c r="AX94">
        <v>7.9432823472428099E-4</v>
      </c>
      <c r="AY94" t="s">
        <v>83</v>
      </c>
      <c r="AZ94" t="s">
        <v>83</v>
      </c>
      <c r="BA94">
        <v>0.01</v>
      </c>
      <c r="BB94" t="s">
        <v>83</v>
      </c>
      <c r="BC94" t="s">
        <v>83</v>
      </c>
      <c r="BD94">
        <v>5.0118723362727203E-3</v>
      </c>
      <c r="BE94">
        <v>3.1622776601683799E-4</v>
      </c>
      <c r="BF94" t="s">
        <v>83</v>
      </c>
      <c r="BG94" t="s">
        <v>83</v>
      </c>
      <c r="BH94" t="s">
        <v>83</v>
      </c>
      <c r="BI94" t="s">
        <v>83</v>
      </c>
      <c r="BJ94" t="s">
        <v>83</v>
      </c>
      <c r="BK94" t="s">
        <v>83</v>
      </c>
      <c r="BL94" t="s">
        <v>83</v>
      </c>
      <c r="BM94">
        <v>0.01</v>
      </c>
      <c r="BN94" t="s">
        <v>83</v>
      </c>
      <c r="BO94" t="s">
        <v>83</v>
      </c>
      <c r="BP94">
        <v>3.01035000425488E-2</v>
      </c>
      <c r="BQ94">
        <v>-15.3</v>
      </c>
    </row>
    <row r="95" spans="1:69" x14ac:dyDescent="0.3">
      <c r="A95">
        <v>21271</v>
      </c>
      <c r="B95">
        <v>2021</v>
      </c>
      <c r="C95">
        <v>355</v>
      </c>
      <c r="D95">
        <v>236</v>
      </c>
      <c r="E95">
        <v>2</v>
      </c>
      <c r="F95" t="s">
        <v>105</v>
      </c>
      <c r="G95">
        <v>8</v>
      </c>
      <c r="H95">
        <v>2</v>
      </c>
      <c r="I95">
        <v>3</v>
      </c>
      <c r="J95">
        <v>5</v>
      </c>
      <c r="K95">
        <v>40</v>
      </c>
      <c r="L95">
        <v>0.16666700000000001</v>
      </c>
      <c r="M95" t="s">
        <v>83</v>
      </c>
      <c r="N95" t="s">
        <v>83</v>
      </c>
      <c r="O95" t="s">
        <v>83</v>
      </c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83</v>
      </c>
      <c r="V95" t="s">
        <v>83</v>
      </c>
      <c r="W95" t="s">
        <v>83</v>
      </c>
      <c r="X95">
        <v>-1.4</v>
      </c>
      <c r="Y95" t="s">
        <v>83</v>
      </c>
      <c r="Z95" t="s">
        <v>83</v>
      </c>
      <c r="AA95" t="s">
        <v>83</v>
      </c>
      <c r="AB95" t="s">
        <v>83</v>
      </c>
      <c r="AC95" t="s">
        <v>83</v>
      </c>
      <c r="AD95">
        <v>0.9</v>
      </c>
      <c r="AE95" t="s">
        <v>83</v>
      </c>
      <c r="AF95" t="s">
        <v>83</v>
      </c>
      <c r="AG95" t="s">
        <v>83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2</v>
      </c>
      <c r="AQ95">
        <v>0</v>
      </c>
      <c r="AR95">
        <v>-0.55359327772942901</v>
      </c>
      <c r="AS95">
        <v>0.24275209964896399</v>
      </c>
      <c r="AT95">
        <v>-3.6058161000832999E-2</v>
      </c>
      <c r="AU95" t="s">
        <v>83</v>
      </c>
      <c r="AV95" t="s">
        <v>83</v>
      </c>
      <c r="AW95" t="s">
        <v>83</v>
      </c>
      <c r="AX95" t="s">
        <v>83</v>
      </c>
      <c r="AY95" t="s">
        <v>83</v>
      </c>
      <c r="AZ95" t="s">
        <v>83</v>
      </c>
      <c r="BA95" t="s">
        <v>83</v>
      </c>
      <c r="BB95" t="s">
        <v>83</v>
      </c>
      <c r="BC95" t="s">
        <v>83</v>
      </c>
      <c r="BD95" t="s">
        <v>83</v>
      </c>
      <c r="BE95" t="s">
        <v>83</v>
      </c>
      <c r="BF95">
        <v>3.9810717055349699E-2</v>
      </c>
      <c r="BG95" t="s">
        <v>83</v>
      </c>
      <c r="BH95" t="s">
        <v>83</v>
      </c>
      <c r="BI95" t="s">
        <v>83</v>
      </c>
      <c r="BJ95" t="s">
        <v>83</v>
      </c>
      <c r="BK95" t="s">
        <v>83</v>
      </c>
      <c r="BL95" t="s">
        <v>83</v>
      </c>
      <c r="BM95">
        <v>7.9432823472428202</v>
      </c>
      <c r="BN95" t="s">
        <v>83</v>
      </c>
      <c r="BO95" t="s">
        <v>83</v>
      </c>
      <c r="BP95">
        <v>7.9830930642981697</v>
      </c>
      <c r="BQ95">
        <v>-0.5</v>
      </c>
    </row>
    <row r="96" spans="1:69" x14ac:dyDescent="0.3">
      <c r="A96">
        <v>21272</v>
      </c>
      <c r="B96">
        <v>2021</v>
      </c>
      <c r="C96">
        <v>351</v>
      </c>
      <c r="D96">
        <v>2018</v>
      </c>
      <c r="E96">
        <v>2</v>
      </c>
      <c r="F96" t="s">
        <v>83</v>
      </c>
      <c r="G96" t="s">
        <v>83</v>
      </c>
      <c r="H96">
        <v>3</v>
      </c>
      <c r="I96">
        <v>3</v>
      </c>
      <c r="J96">
        <v>4</v>
      </c>
      <c r="K96">
        <v>75</v>
      </c>
      <c r="L96" t="s">
        <v>83</v>
      </c>
      <c r="M96" t="s">
        <v>83</v>
      </c>
      <c r="N96" t="s">
        <v>83</v>
      </c>
      <c r="O96">
        <v>-3.5</v>
      </c>
      <c r="P96">
        <v>-3</v>
      </c>
      <c r="Q96" t="s">
        <v>83</v>
      </c>
      <c r="R96">
        <v>-1.3</v>
      </c>
      <c r="S96">
        <v>-1.4</v>
      </c>
      <c r="T96" t="s">
        <v>83</v>
      </c>
      <c r="U96" t="s">
        <v>83</v>
      </c>
      <c r="V96" t="s">
        <v>83</v>
      </c>
      <c r="W96">
        <v>-2.2000000000000002</v>
      </c>
      <c r="X96">
        <v>-3</v>
      </c>
      <c r="Y96" t="s">
        <v>83</v>
      </c>
      <c r="Z96" t="s">
        <v>83</v>
      </c>
      <c r="AA96">
        <v>-1.8</v>
      </c>
      <c r="AB96" t="s">
        <v>83</v>
      </c>
      <c r="AC96">
        <v>-1.4</v>
      </c>
      <c r="AD96">
        <v>0.3</v>
      </c>
      <c r="AE96" t="s">
        <v>83</v>
      </c>
      <c r="AF96" t="s">
        <v>83</v>
      </c>
      <c r="AG96" t="s">
        <v>83</v>
      </c>
      <c r="AH96">
        <v>1</v>
      </c>
      <c r="AI96">
        <v>0</v>
      </c>
      <c r="AJ96">
        <v>1</v>
      </c>
      <c r="AK96">
        <v>0</v>
      </c>
      <c r="AL96">
        <v>1</v>
      </c>
      <c r="AM96">
        <v>1</v>
      </c>
      <c r="AN96">
        <v>1</v>
      </c>
      <c r="AO96">
        <v>0</v>
      </c>
      <c r="AP96">
        <v>5</v>
      </c>
      <c r="AQ96">
        <v>1</v>
      </c>
      <c r="AR96">
        <v>0.66100689878140895</v>
      </c>
      <c r="AS96" t="s">
        <v>83</v>
      </c>
      <c r="AT96" t="s">
        <v>83</v>
      </c>
      <c r="AU96" t="s">
        <v>83</v>
      </c>
      <c r="AV96" t="s">
        <v>83</v>
      </c>
      <c r="AW96">
        <v>3.1622776601683799E-4</v>
      </c>
      <c r="AX96">
        <v>1E-3</v>
      </c>
      <c r="AY96" t="s">
        <v>83</v>
      </c>
      <c r="AZ96">
        <v>5.0118723362727199E-2</v>
      </c>
      <c r="BA96">
        <v>3.9810717055349699E-2</v>
      </c>
      <c r="BB96" t="s">
        <v>83</v>
      </c>
      <c r="BC96" t="s">
        <v>83</v>
      </c>
      <c r="BD96" t="s">
        <v>83</v>
      </c>
      <c r="BE96">
        <v>6.3095734448019303E-3</v>
      </c>
      <c r="BF96">
        <v>1E-3</v>
      </c>
      <c r="BG96" t="s">
        <v>83</v>
      </c>
      <c r="BH96" t="s">
        <v>83</v>
      </c>
      <c r="BI96">
        <v>1.58489319246111E-2</v>
      </c>
      <c r="BJ96" t="s">
        <v>83</v>
      </c>
      <c r="BK96">
        <v>3.9810717055349699E-2</v>
      </c>
      <c r="BL96" t="s">
        <v>83</v>
      </c>
      <c r="BM96">
        <v>1.99526231496888</v>
      </c>
      <c r="BN96" t="s">
        <v>83</v>
      </c>
      <c r="BO96" t="s">
        <v>83</v>
      </c>
      <c r="BP96">
        <v>2.1494772055777398</v>
      </c>
      <c r="BQ96">
        <v>-17.3</v>
      </c>
    </row>
    <row r="97" spans="1:69" x14ac:dyDescent="0.3">
      <c r="A97">
        <v>21273</v>
      </c>
      <c r="B97">
        <v>2021</v>
      </c>
      <c r="C97">
        <v>337</v>
      </c>
      <c r="D97">
        <v>305</v>
      </c>
      <c r="E97">
        <v>2</v>
      </c>
      <c r="F97" t="s">
        <v>83</v>
      </c>
      <c r="G97" t="s">
        <v>83</v>
      </c>
      <c r="H97">
        <v>3</v>
      </c>
      <c r="I97">
        <v>4</v>
      </c>
      <c r="J97">
        <v>4</v>
      </c>
      <c r="K97">
        <v>75</v>
      </c>
      <c r="L97" t="s">
        <v>83</v>
      </c>
      <c r="M97" t="s">
        <v>83</v>
      </c>
      <c r="N97" t="s">
        <v>83</v>
      </c>
      <c r="O97" t="s">
        <v>83</v>
      </c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83</v>
      </c>
      <c r="V97" t="s">
        <v>83</v>
      </c>
      <c r="W97">
        <v>-1.4</v>
      </c>
      <c r="X97" t="s">
        <v>83</v>
      </c>
      <c r="Y97" t="s">
        <v>83</v>
      </c>
      <c r="Z97" t="s">
        <v>83</v>
      </c>
      <c r="AA97" t="s">
        <v>83</v>
      </c>
      <c r="AB97" t="s">
        <v>83</v>
      </c>
      <c r="AC97" t="s">
        <v>83</v>
      </c>
      <c r="AD97">
        <v>2.2999999999999998</v>
      </c>
      <c r="AE97" t="s">
        <v>83</v>
      </c>
      <c r="AF97" t="s">
        <v>83</v>
      </c>
      <c r="AG97" t="s">
        <v>83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2</v>
      </c>
      <c r="AQ97">
        <v>0</v>
      </c>
      <c r="AR97">
        <v>0.66100689878140895</v>
      </c>
      <c r="AS97" t="s">
        <v>83</v>
      </c>
      <c r="AT97" t="s">
        <v>83</v>
      </c>
      <c r="AU97" t="s">
        <v>83</v>
      </c>
      <c r="AV97" t="s">
        <v>83</v>
      </c>
      <c r="AW97" t="s">
        <v>83</v>
      </c>
      <c r="AX97" t="s">
        <v>83</v>
      </c>
      <c r="AY97" t="s">
        <v>83</v>
      </c>
      <c r="AZ97" t="s">
        <v>83</v>
      </c>
      <c r="BA97" t="s">
        <v>83</v>
      </c>
      <c r="BB97" t="s">
        <v>83</v>
      </c>
      <c r="BC97" t="s">
        <v>83</v>
      </c>
      <c r="BD97" t="s">
        <v>83</v>
      </c>
      <c r="BE97">
        <v>3.9810717055349699E-2</v>
      </c>
      <c r="BF97" t="s">
        <v>83</v>
      </c>
      <c r="BG97" t="s">
        <v>83</v>
      </c>
      <c r="BH97" t="s">
        <v>83</v>
      </c>
      <c r="BI97" t="s">
        <v>83</v>
      </c>
      <c r="BJ97" t="s">
        <v>83</v>
      </c>
      <c r="BK97" t="s">
        <v>83</v>
      </c>
      <c r="BL97" t="s">
        <v>83</v>
      </c>
      <c r="BM97">
        <v>199.52623149688799</v>
      </c>
      <c r="BN97" t="s">
        <v>83</v>
      </c>
      <c r="BO97" t="s">
        <v>83</v>
      </c>
      <c r="BP97">
        <v>199.56604221394301</v>
      </c>
      <c r="BQ97">
        <v>0.9</v>
      </c>
    </row>
    <row r="98" spans="1:69" x14ac:dyDescent="0.3">
      <c r="A98">
        <v>21274</v>
      </c>
      <c r="B98">
        <v>2021</v>
      </c>
      <c r="C98">
        <v>333</v>
      </c>
      <c r="D98">
        <v>1901</v>
      </c>
      <c r="E98">
        <v>2</v>
      </c>
      <c r="F98" t="s">
        <v>146</v>
      </c>
      <c r="G98">
        <v>4</v>
      </c>
      <c r="H98">
        <v>2</v>
      </c>
      <c r="I98">
        <v>2</v>
      </c>
      <c r="J98">
        <v>3</v>
      </c>
      <c r="K98">
        <v>67</v>
      </c>
      <c r="L98">
        <v>5.5556000000000001E-2</v>
      </c>
      <c r="M98" t="s">
        <v>83</v>
      </c>
      <c r="N98" t="s">
        <v>83</v>
      </c>
      <c r="O98">
        <v>-2.8</v>
      </c>
      <c r="P98" t="s">
        <v>83</v>
      </c>
      <c r="Q98" t="s">
        <v>83</v>
      </c>
      <c r="R98">
        <v>-2.5</v>
      </c>
      <c r="S98">
        <v>-1</v>
      </c>
      <c r="T98" t="s">
        <v>83</v>
      </c>
      <c r="U98" t="s">
        <v>83</v>
      </c>
      <c r="V98">
        <v>-2.2000000000000002</v>
      </c>
      <c r="W98">
        <v>-2.2999999999999998</v>
      </c>
      <c r="X98">
        <v>-2.2000000000000002</v>
      </c>
      <c r="Y98" t="s">
        <v>83</v>
      </c>
      <c r="Z98" t="s">
        <v>83</v>
      </c>
      <c r="AA98" t="s">
        <v>83</v>
      </c>
      <c r="AB98" t="s">
        <v>83</v>
      </c>
      <c r="AC98" t="s">
        <v>83</v>
      </c>
      <c r="AD98">
        <v>-1.3</v>
      </c>
      <c r="AE98" t="s">
        <v>83</v>
      </c>
      <c r="AF98" t="s">
        <v>83</v>
      </c>
      <c r="AG98" t="s">
        <v>83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4</v>
      </c>
      <c r="AQ98">
        <v>1</v>
      </c>
      <c r="AR98">
        <v>0.38338400129321698</v>
      </c>
      <c r="AS98">
        <v>-0.71121196486504301</v>
      </c>
      <c r="AT98">
        <v>-0.92937002063436902</v>
      </c>
      <c r="AU98" t="s">
        <v>83</v>
      </c>
      <c r="AV98" t="s">
        <v>83</v>
      </c>
      <c r="AW98">
        <v>1.58489319246111E-3</v>
      </c>
      <c r="AX98" t="s">
        <v>83</v>
      </c>
      <c r="AY98" t="s">
        <v>83</v>
      </c>
      <c r="AZ98">
        <v>3.1622776601683798E-3</v>
      </c>
      <c r="BA98">
        <v>0.1</v>
      </c>
      <c r="BB98" t="s">
        <v>83</v>
      </c>
      <c r="BC98" t="s">
        <v>83</v>
      </c>
      <c r="BD98">
        <v>6.3095734448019303E-3</v>
      </c>
      <c r="BE98">
        <v>5.0118723362727203E-3</v>
      </c>
      <c r="BF98">
        <v>6.3095734448019303E-3</v>
      </c>
      <c r="BG98" t="s">
        <v>83</v>
      </c>
      <c r="BH98" t="s">
        <v>83</v>
      </c>
      <c r="BI98" t="s">
        <v>83</v>
      </c>
      <c r="BJ98" t="s">
        <v>83</v>
      </c>
      <c r="BK98" t="s">
        <v>83</v>
      </c>
      <c r="BL98" t="s">
        <v>83</v>
      </c>
      <c r="BM98">
        <v>5.0118723362727199E-2</v>
      </c>
      <c r="BN98" t="s">
        <v>83</v>
      </c>
      <c r="BO98" t="s">
        <v>83</v>
      </c>
      <c r="BP98">
        <v>0.172496913441233</v>
      </c>
      <c r="BQ98">
        <v>-14.3</v>
      </c>
    </row>
    <row r="99" spans="1:69" x14ac:dyDescent="0.3">
      <c r="A99">
        <v>21275</v>
      </c>
      <c r="B99">
        <v>2021</v>
      </c>
      <c r="C99">
        <v>329</v>
      </c>
      <c r="D99">
        <v>802</v>
      </c>
      <c r="E99">
        <v>2</v>
      </c>
      <c r="F99" t="s">
        <v>83</v>
      </c>
      <c r="G99" t="s">
        <v>83</v>
      </c>
      <c r="H99">
        <v>3</v>
      </c>
      <c r="I99">
        <v>3</v>
      </c>
      <c r="J99">
        <v>4</v>
      </c>
      <c r="K99">
        <v>75</v>
      </c>
      <c r="L99" t="s">
        <v>83</v>
      </c>
      <c r="M99" t="s">
        <v>83</v>
      </c>
      <c r="N99" t="s">
        <v>83</v>
      </c>
      <c r="O99" t="s">
        <v>83</v>
      </c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83</v>
      </c>
      <c r="V99">
        <v>-1.5</v>
      </c>
      <c r="W99">
        <v>-2.1</v>
      </c>
      <c r="X99" t="s">
        <v>83</v>
      </c>
      <c r="Y99" t="s">
        <v>83</v>
      </c>
      <c r="Z99" t="s">
        <v>83</v>
      </c>
      <c r="AA99" t="s">
        <v>83</v>
      </c>
      <c r="AB99" t="s">
        <v>83</v>
      </c>
      <c r="AC99">
        <v>0</v>
      </c>
      <c r="AD99" t="s">
        <v>83</v>
      </c>
      <c r="AE99" t="s">
        <v>83</v>
      </c>
      <c r="AF99" t="s">
        <v>83</v>
      </c>
      <c r="AG99" t="s">
        <v>83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3</v>
      </c>
      <c r="AQ99">
        <v>1</v>
      </c>
      <c r="AR99">
        <v>0.66100689878140895</v>
      </c>
      <c r="AS99" t="s">
        <v>83</v>
      </c>
      <c r="AT99" t="s">
        <v>83</v>
      </c>
      <c r="AU99" t="s">
        <v>83</v>
      </c>
      <c r="AV99" t="s">
        <v>83</v>
      </c>
      <c r="AW99" t="s">
        <v>83</v>
      </c>
      <c r="AX99" t="s">
        <v>83</v>
      </c>
      <c r="AY99" t="s">
        <v>83</v>
      </c>
      <c r="AZ99" t="s">
        <v>83</v>
      </c>
      <c r="BA99" t="s">
        <v>83</v>
      </c>
      <c r="BB99" t="s">
        <v>83</v>
      </c>
      <c r="BC99" t="s">
        <v>83</v>
      </c>
      <c r="BD99">
        <v>3.1622776601683798E-2</v>
      </c>
      <c r="BE99">
        <v>7.9432823472428103E-3</v>
      </c>
      <c r="BF99" t="s">
        <v>83</v>
      </c>
      <c r="BG99" t="s">
        <v>83</v>
      </c>
      <c r="BH99" t="s">
        <v>83</v>
      </c>
      <c r="BI99" t="s">
        <v>83</v>
      </c>
      <c r="BJ99" t="s">
        <v>83</v>
      </c>
      <c r="BK99">
        <v>1</v>
      </c>
      <c r="BL99" t="s">
        <v>83</v>
      </c>
      <c r="BM99" t="s">
        <v>83</v>
      </c>
      <c r="BN99" t="s">
        <v>83</v>
      </c>
      <c r="BO99" t="s">
        <v>83</v>
      </c>
      <c r="BP99">
        <v>1.0395660589489299</v>
      </c>
      <c r="BQ99">
        <v>-3.6</v>
      </c>
    </row>
    <row r="100" spans="1:69" x14ac:dyDescent="0.3">
      <c r="A100">
        <v>21276</v>
      </c>
      <c r="B100">
        <v>2021</v>
      </c>
      <c r="C100">
        <v>345</v>
      </c>
      <c r="D100" t="s">
        <v>133</v>
      </c>
      <c r="E100">
        <v>2</v>
      </c>
      <c r="F100" t="s">
        <v>83</v>
      </c>
      <c r="G100" t="s">
        <v>83</v>
      </c>
      <c r="H100">
        <v>3</v>
      </c>
      <c r="I100">
        <v>3</v>
      </c>
      <c r="J100">
        <v>5</v>
      </c>
      <c r="K100">
        <v>60</v>
      </c>
      <c r="L100" t="s">
        <v>83</v>
      </c>
      <c r="M100" t="s">
        <v>83</v>
      </c>
      <c r="N100" t="s">
        <v>83</v>
      </c>
      <c r="O100" t="s">
        <v>83</v>
      </c>
      <c r="P100" t="s">
        <v>83</v>
      </c>
      <c r="Q100" t="s">
        <v>83</v>
      </c>
      <c r="R100" t="s">
        <v>83</v>
      </c>
      <c r="S100">
        <v>-2</v>
      </c>
      <c r="T100" t="s">
        <v>83</v>
      </c>
      <c r="U100" t="s">
        <v>83</v>
      </c>
      <c r="V100">
        <v>-2</v>
      </c>
      <c r="W100">
        <v>-2.6</v>
      </c>
      <c r="X100" t="s">
        <v>83</v>
      </c>
      <c r="Y100" t="s">
        <v>83</v>
      </c>
      <c r="Z100" t="s">
        <v>83</v>
      </c>
      <c r="AA100" t="s">
        <v>83</v>
      </c>
      <c r="AB100" t="s">
        <v>83</v>
      </c>
      <c r="AC100" t="s">
        <v>83</v>
      </c>
      <c r="AD100">
        <v>-2.1</v>
      </c>
      <c r="AE100" t="s">
        <v>83</v>
      </c>
      <c r="AF100" t="s">
        <v>83</v>
      </c>
      <c r="AG100" t="s">
        <v>83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4</v>
      </c>
      <c r="AQ100">
        <v>1</v>
      </c>
      <c r="AR100">
        <v>0.14046396599104899</v>
      </c>
      <c r="AS100" t="s">
        <v>83</v>
      </c>
      <c r="AT100" t="s">
        <v>83</v>
      </c>
      <c r="AU100" t="s">
        <v>83</v>
      </c>
      <c r="AV100" t="s">
        <v>83</v>
      </c>
      <c r="AW100" t="s">
        <v>83</v>
      </c>
      <c r="AX100" t="s">
        <v>83</v>
      </c>
      <c r="AY100" t="s">
        <v>83</v>
      </c>
      <c r="AZ100" t="s">
        <v>83</v>
      </c>
      <c r="BA100">
        <v>0.01</v>
      </c>
      <c r="BB100" t="s">
        <v>83</v>
      </c>
      <c r="BC100" t="s">
        <v>83</v>
      </c>
      <c r="BD100">
        <v>0.01</v>
      </c>
      <c r="BE100">
        <v>2.5118864315095799E-3</v>
      </c>
      <c r="BF100" t="s">
        <v>83</v>
      </c>
      <c r="BG100" t="s">
        <v>83</v>
      </c>
      <c r="BH100" t="s">
        <v>83</v>
      </c>
      <c r="BI100" t="s">
        <v>83</v>
      </c>
      <c r="BJ100" t="s">
        <v>83</v>
      </c>
      <c r="BK100" t="s">
        <v>83</v>
      </c>
      <c r="BL100" t="s">
        <v>83</v>
      </c>
      <c r="BM100">
        <v>7.9432823472428103E-3</v>
      </c>
      <c r="BN100" t="s">
        <v>83</v>
      </c>
      <c r="BO100" t="s">
        <v>83</v>
      </c>
      <c r="BP100">
        <v>3.0455168778752401E-2</v>
      </c>
      <c r="BQ100">
        <v>-8.6999999999999993</v>
      </c>
    </row>
    <row r="101" spans="1:69" x14ac:dyDescent="0.3">
      <c r="A101">
        <v>21277</v>
      </c>
      <c r="B101">
        <v>2021</v>
      </c>
      <c r="C101">
        <v>309</v>
      </c>
      <c r="D101">
        <v>234</v>
      </c>
      <c r="E101">
        <v>2</v>
      </c>
      <c r="F101" t="s">
        <v>104</v>
      </c>
      <c r="G101">
        <v>7</v>
      </c>
      <c r="H101">
        <v>3</v>
      </c>
      <c r="I101">
        <v>4</v>
      </c>
      <c r="J101">
        <v>4</v>
      </c>
      <c r="K101">
        <v>75</v>
      </c>
      <c r="L101">
        <v>5.5556000000000001E-2</v>
      </c>
      <c r="M101" t="s">
        <v>83</v>
      </c>
      <c r="N101" t="s">
        <v>83</v>
      </c>
      <c r="O101">
        <v>-2.5</v>
      </c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83</v>
      </c>
      <c r="V101" t="s">
        <v>83</v>
      </c>
      <c r="W101" t="s">
        <v>83</v>
      </c>
      <c r="X101" t="s">
        <v>83</v>
      </c>
      <c r="Y101" t="s">
        <v>83</v>
      </c>
      <c r="Z101" t="s">
        <v>83</v>
      </c>
      <c r="AA101" t="s">
        <v>83</v>
      </c>
      <c r="AB101" t="s">
        <v>83</v>
      </c>
      <c r="AC101" t="s">
        <v>83</v>
      </c>
      <c r="AD101">
        <v>-0.9</v>
      </c>
      <c r="AE101" t="s">
        <v>83</v>
      </c>
      <c r="AF101" t="s">
        <v>83</v>
      </c>
      <c r="AG101" t="s">
        <v>83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2</v>
      </c>
      <c r="AQ101">
        <v>0</v>
      </c>
      <c r="AR101">
        <v>0.66100689878140895</v>
      </c>
      <c r="AS101">
        <v>-0.71121196486504301</v>
      </c>
      <c r="AT101">
        <v>-0.259386125909217</v>
      </c>
      <c r="AU101" t="s">
        <v>83</v>
      </c>
      <c r="AV101" t="s">
        <v>83</v>
      </c>
      <c r="AW101">
        <v>3.1622776601683798E-3</v>
      </c>
      <c r="AX101" t="s">
        <v>83</v>
      </c>
      <c r="AY101" t="s">
        <v>83</v>
      </c>
      <c r="AZ101" t="s">
        <v>83</v>
      </c>
      <c r="BA101" t="s">
        <v>83</v>
      </c>
      <c r="BB101" t="s">
        <v>83</v>
      </c>
      <c r="BC101" t="s">
        <v>83</v>
      </c>
      <c r="BD101" t="s">
        <v>83</v>
      </c>
      <c r="BE101" t="s">
        <v>83</v>
      </c>
      <c r="BF101" t="s">
        <v>83</v>
      </c>
      <c r="BG101" t="s">
        <v>83</v>
      </c>
      <c r="BH101" t="s">
        <v>83</v>
      </c>
      <c r="BI101" t="s">
        <v>83</v>
      </c>
      <c r="BJ101" t="s">
        <v>83</v>
      </c>
      <c r="BK101" t="s">
        <v>83</v>
      </c>
      <c r="BL101" t="s">
        <v>83</v>
      </c>
      <c r="BM101">
        <v>0.12589254117941701</v>
      </c>
      <c r="BN101" t="s">
        <v>83</v>
      </c>
      <c r="BO101" t="s">
        <v>83</v>
      </c>
      <c r="BP101">
        <v>0.129054818839585</v>
      </c>
      <c r="BQ101">
        <v>-3.4</v>
      </c>
    </row>
    <row r="102" spans="1:69" x14ac:dyDescent="0.3">
      <c r="A102">
        <v>21278</v>
      </c>
      <c r="B102">
        <v>2021</v>
      </c>
      <c r="C102">
        <v>289</v>
      </c>
      <c r="D102" t="s">
        <v>127</v>
      </c>
      <c r="E102">
        <v>2</v>
      </c>
      <c r="F102" t="s">
        <v>128</v>
      </c>
      <c r="G102">
        <v>7</v>
      </c>
      <c r="H102">
        <v>4</v>
      </c>
      <c r="I102">
        <v>4</v>
      </c>
      <c r="J102">
        <v>5</v>
      </c>
      <c r="K102">
        <v>80</v>
      </c>
      <c r="L102">
        <v>0.44444400000000001</v>
      </c>
      <c r="M102" t="s">
        <v>83</v>
      </c>
      <c r="N102" t="s">
        <v>83</v>
      </c>
      <c r="O102" t="s">
        <v>83</v>
      </c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83</v>
      </c>
      <c r="V102" t="s">
        <v>83</v>
      </c>
      <c r="W102" t="s">
        <v>83</v>
      </c>
      <c r="X102" t="s">
        <v>83</v>
      </c>
      <c r="Y102" t="s">
        <v>83</v>
      </c>
      <c r="Z102" t="s">
        <v>83</v>
      </c>
      <c r="AA102" t="s">
        <v>83</v>
      </c>
      <c r="AB102" t="s">
        <v>83</v>
      </c>
      <c r="AC102" t="s">
        <v>83</v>
      </c>
      <c r="AD102">
        <v>2.1</v>
      </c>
      <c r="AE102" t="s">
        <v>83</v>
      </c>
      <c r="AF102" t="s">
        <v>83</v>
      </c>
      <c r="AG102" t="s">
        <v>83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0.83452120971152799</v>
      </c>
      <c r="AS102">
        <v>2.6276579680914001</v>
      </c>
      <c r="AT102">
        <v>-0.259386125909217</v>
      </c>
      <c r="AU102" t="s">
        <v>83</v>
      </c>
      <c r="AV102" t="s">
        <v>83</v>
      </c>
      <c r="AW102" t="s">
        <v>83</v>
      </c>
      <c r="AX102" t="s">
        <v>83</v>
      </c>
      <c r="AY102" t="s">
        <v>83</v>
      </c>
      <c r="AZ102" t="s">
        <v>83</v>
      </c>
      <c r="BA102" t="s">
        <v>83</v>
      </c>
      <c r="BB102" t="s">
        <v>83</v>
      </c>
      <c r="BC102" t="s">
        <v>83</v>
      </c>
      <c r="BD102" t="s">
        <v>83</v>
      </c>
      <c r="BE102" t="s">
        <v>83</v>
      </c>
      <c r="BF102" t="s">
        <v>83</v>
      </c>
      <c r="BG102" t="s">
        <v>83</v>
      </c>
      <c r="BH102" t="s">
        <v>83</v>
      </c>
      <c r="BI102" t="s">
        <v>83</v>
      </c>
      <c r="BJ102" t="s">
        <v>83</v>
      </c>
      <c r="BK102" t="s">
        <v>83</v>
      </c>
      <c r="BL102" t="s">
        <v>83</v>
      </c>
      <c r="BM102">
        <v>125.89254117941699</v>
      </c>
      <c r="BN102" t="s">
        <v>83</v>
      </c>
      <c r="BO102" t="s">
        <v>83</v>
      </c>
      <c r="BP102">
        <v>125.89254117941699</v>
      </c>
      <c r="BQ102">
        <v>2.1</v>
      </c>
    </row>
    <row r="103" spans="1:69" x14ac:dyDescent="0.3">
      <c r="A103">
        <v>21279</v>
      </c>
      <c r="B103">
        <v>2021</v>
      </c>
      <c r="C103">
        <v>910</v>
      </c>
      <c r="D103">
        <v>910</v>
      </c>
      <c r="E103">
        <v>3</v>
      </c>
      <c r="F103" t="s">
        <v>117</v>
      </c>
      <c r="G103">
        <v>10</v>
      </c>
      <c r="H103">
        <v>4</v>
      </c>
      <c r="I103">
        <v>5</v>
      </c>
      <c r="J103">
        <v>5</v>
      </c>
      <c r="K103">
        <v>80</v>
      </c>
      <c r="L103">
        <v>0.27777800000000002</v>
      </c>
      <c r="M103" t="s">
        <v>83</v>
      </c>
      <c r="N103" t="s">
        <v>83</v>
      </c>
      <c r="O103" t="s">
        <v>83</v>
      </c>
      <c r="P103" t="s">
        <v>83</v>
      </c>
      <c r="Q103" t="s">
        <v>83</v>
      </c>
      <c r="R103" t="s">
        <v>83</v>
      </c>
      <c r="S103">
        <v>-0.1</v>
      </c>
      <c r="T103" t="s">
        <v>83</v>
      </c>
      <c r="U103" t="s">
        <v>83</v>
      </c>
      <c r="V103" t="s">
        <v>83</v>
      </c>
      <c r="W103" t="s">
        <v>83</v>
      </c>
      <c r="X103" t="s">
        <v>83</v>
      </c>
      <c r="Y103" t="s">
        <v>83</v>
      </c>
      <c r="Z103" t="s">
        <v>83</v>
      </c>
      <c r="AA103" t="s">
        <v>83</v>
      </c>
      <c r="AB103" t="s">
        <v>83</v>
      </c>
      <c r="AC103" t="s">
        <v>83</v>
      </c>
      <c r="AD103">
        <v>1.6</v>
      </c>
      <c r="AE103">
        <v>1.9</v>
      </c>
      <c r="AF103" t="s">
        <v>83</v>
      </c>
      <c r="AG103" t="s">
        <v>83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3</v>
      </c>
      <c r="AQ103">
        <v>1</v>
      </c>
      <c r="AR103">
        <v>0.83452120971152799</v>
      </c>
      <c r="AS103">
        <v>1.19671616416297</v>
      </c>
      <c r="AT103">
        <v>0.41059776881593502</v>
      </c>
      <c r="AU103" t="s">
        <v>83</v>
      </c>
      <c r="AV103" t="s">
        <v>83</v>
      </c>
      <c r="AW103" t="s">
        <v>83</v>
      </c>
      <c r="AX103" t="s">
        <v>83</v>
      </c>
      <c r="AY103" t="s">
        <v>83</v>
      </c>
      <c r="AZ103" t="s">
        <v>83</v>
      </c>
      <c r="BA103">
        <v>0.79432823472428105</v>
      </c>
      <c r="BB103" t="s">
        <v>83</v>
      </c>
      <c r="BC103" t="s">
        <v>83</v>
      </c>
      <c r="BD103" t="s">
        <v>83</v>
      </c>
      <c r="BE103" t="s">
        <v>83</v>
      </c>
      <c r="BF103" t="s">
        <v>83</v>
      </c>
      <c r="BG103" t="s">
        <v>83</v>
      </c>
      <c r="BH103" t="s">
        <v>83</v>
      </c>
      <c r="BI103" t="s">
        <v>83</v>
      </c>
      <c r="BJ103" t="s">
        <v>83</v>
      </c>
      <c r="BK103" t="s">
        <v>83</v>
      </c>
      <c r="BL103">
        <v>79.432823472428097</v>
      </c>
      <c r="BM103">
        <v>39.810717055349699</v>
      </c>
      <c r="BN103" t="s">
        <v>83</v>
      </c>
      <c r="BO103" t="s">
        <v>83</v>
      </c>
      <c r="BP103">
        <v>120.037868762502</v>
      </c>
      <c r="BQ103">
        <v>3.4</v>
      </c>
    </row>
    <row r="104" spans="1:69" x14ac:dyDescent="0.3">
      <c r="A104">
        <v>21280</v>
      </c>
      <c r="B104">
        <v>2021</v>
      </c>
      <c r="C104">
        <v>236</v>
      </c>
      <c r="D104">
        <v>236</v>
      </c>
      <c r="E104">
        <v>3</v>
      </c>
      <c r="F104" t="s">
        <v>105</v>
      </c>
      <c r="G104">
        <v>8</v>
      </c>
      <c r="H104">
        <v>2</v>
      </c>
      <c r="I104">
        <v>3</v>
      </c>
      <c r="J104">
        <v>5</v>
      </c>
      <c r="K104">
        <v>40</v>
      </c>
      <c r="L104">
        <v>0.16666700000000001</v>
      </c>
      <c r="M104" t="s">
        <v>83</v>
      </c>
      <c r="N104" t="s">
        <v>83</v>
      </c>
      <c r="O104" t="s">
        <v>83</v>
      </c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83</v>
      </c>
      <c r="V104">
        <v>0.2</v>
      </c>
      <c r="W104" t="s">
        <v>83</v>
      </c>
      <c r="X104" t="s">
        <v>83</v>
      </c>
      <c r="Y104" t="s">
        <v>83</v>
      </c>
      <c r="Z104" t="s">
        <v>83</v>
      </c>
      <c r="AA104" t="s">
        <v>83</v>
      </c>
      <c r="AB104" t="s">
        <v>83</v>
      </c>
      <c r="AC104" t="s">
        <v>83</v>
      </c>
      <c r="AD104">
        <v>0.9</v>
      </c>
      <c r="AE104" t="s">
        <v>83</v>
      </c>
      <c r="AF104" t="s">
        <v>83</v>
      </c>
      <c r="AG104">
        <v>0.6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1</v>
      </c>
      <c r="AP104">
        <v>3</v>
      </c>
      <c r="AQ104">
        <v>1</v>
      </c>
      <c r="AR104">
        <v>-0.55359327772942901</v>
      </c>
      <c r="AS104">
        <v>0.24275209964896399</v>
      </c>
      <c r="AT104">
        <v>-3.6058161000832999E-2</v>
      </c>
      <c r="AU104" t="s">
        <v>83</v>
      </c>
      <c r="AV104" t="s">
        <v>83</v>
      </c>
      <c r="AW104" t="s">
        <v>83</v>
      </c>
      <c r="AX104" t="s">
        <v>83</v>
      </c>
      <c r="AY104" t="s">
        <v>83</v>
      </c>
      <c r="AZ104" t="s">
        <v>83</v>
      </c>
      <c r="BA104" t="s">
        <v>83</v>
      </c>
      <c r="BB104" t="s">
        <v>83</v>
      </c>
      <c r="BC104" t="s">
        <v>83</v>
      </c>
      <c r="BD104">
        <v>1.58489319246111</v>
      </c>
      <c r="BE104" t="s">
        <v>83</v>
      </c>
      <c r="BF104" t="s">
        <v>83</v>
      </c>
      <c r="BG104" t="s">
        <v>83</v>
      </c>
      <c r="BH104" t="s">
        <v>83</v>
      </c>
      <c r="BI104" t="s">
        <v>83</v>
      </c>
      <c r="BJ104" t="s">
        <v>83</v>
      </c>
      <c r="BK104" t="s">
        <v>83</v>
      </c>
      <c r="BL104" t="s">
        <v>83</v>
      </c>
      <c r="BM104">
        <v>7.9432823472428202</v>
      </c>
      <c r="BN104" t="s">
        <v>83</v>
      </c>
      <c r="BO104">
        <v>3.98107170553497</v>
      </c>
      <c r="BP104">
        <v>13.5092472452389</v>
      </c>
      <c r="BQ104">
        <v>1.7</v>
      </c>
    </row>
    <row r="105" spans="1:69" x14ac:dyDescent="0.3">
      <c r="A105">
        <v>21281</v>
      </c>
      <c r="B105">
        <v>2021</v>
      </c>
      <c r="C105">
        <v>300</v>
      </c>
      <c r="D105">
        <v>300</v>
      </c>
      <c r="E105">
        <v>3</v>
      </c>
      <c r="F105" t="s">
        <v>141</v>
      </c>
      <c r="G105">
        <v>5</v>
      </c>
      <c r="H105">
        <v>3</v>
      </c>
      <c r="I105">
        <v>4</v>
      </c>
      <c r="J105">
        <v>4</v>
      </c>
      <c r="K105">
        <v>75</v>
      </c>
      <c r="L105">
        <v>0.111111111</v>
      </c>
      <c r="M105" t="s">
        <v>83</v>
      </c>
      <c r="N105" t="s">
        <v>83</v>
      </c>
      <c r="O105" t="s">
        <v>83</v>
      </c>
      <c r="P105" t="s">
        <v>83</v>
      </c>
      <c r="Q105">
        <v>-1.8</v>
      </c>
      <c r="R105" t="s">
        <v>83</v>
      </c>
      <c r="S105">
        <v>-1.5</v>
      </c>
      <c r="T105" t="s">
        <v>83</v>
      </c>
      <c r="U105" t="s">
        <v>83</v>
      </c>
      <c r="V105" t="s">
        <v>83</v>
      </c>
      <c r="W105" t="s">
        <v>83</v>
      </c>
      <c r="X105" t="s">
        <v>83</v>
      </c>
      <c r="Y105" t="s">
        <v>83</v>
      </c>
      <c r="Z105" t="s">
        <v>83</v>
      </c>
      <c r="AA105" t="s">
        <v>83</v>
      </c>
      <c r="AB105" t="s">
        <v>83</v>
      </c>
      <c r="AC105" t="s">
        <v>83</v>
      </c>
      <c r="AD105">
        <v>-1.3</v>
      </c>
      <c r="AE105" t="s">
        <v>83</v>
      </c>
      <c r="AF105" t="s">
        <v>83</v>
      </c>
      <c r="AG105" t="s">
        <v>83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2</v>
      </c>
      <c r="AQ105">
        <v>0</v>
      </c>
      <c r="AR105">
        <v>0.66100689878140895</v>
      </c>
      <c r="AS105">
        <v>-0.23423327243956901</v>
      </c>
      <c r="AT105">
        <v>-0.706042055725985</v>
      </c>
      <c r="AU105" t="s">
        <v>83</v>
      </c>
      <c r="AV105" t="s">
        <v>83</v>
      </c>
      <c r="AW105" t="s">
        <v>83</v>
      </c>
      <c r="AX105" t="s">
        <v>83</v>
      </c>
      <c r="AY105">
        <v>1.58489319246111E-2</v>
      </c>
      <c r="AZ105" t="s">
        <v>83</v>
      </c>
      <c r="BA105">
        <v>3.1622776601683798E-2</v>
      </c>
      <c r="BB105" t="s">
        <v>83</v>
      </c>
      <c r="BC105" t="s">
        <v>83</v>
      </c>
      <c r="BD105" t="s">
        <v>83</v>
      </c>
      <c r="BE105" t="s">
        <v>83</v>
      </c>
      <c r="BF105" t="s">
        <v>83</v>
      </c>
      <c r="BG105" t="s">
        <v>83</v>
      </c>
      <c r="BH105" t="s">
        <v>83</v>
      </c>
      <c r="BI105" t="s">
        <v>83</v>
      </c>
      <c r="BJ105" t="s">
        <v>83</v>
      </c>
      <c r="BK105" t="s">
        <v>83</v>
      </c>
      <c r="BL105" t="s">
        <v>83</v>
      </c>
      <c r="BM105">
        <v>5.0118723362727199E-2</v>
      </c>
      <c r="BN105" t="s">
        <v>83</v>
      </c>
      <c r="BO105" t="s">
        <v>83</v>
      </c>
      <c r="BP105">
        <v>9.7590431889022097E-2</v>
      </c>
      <c r="BQ105">
        <v>-4.5999999999999996</v>
      </c>
    </row>
    <row r="106" spans="1:69" x14ac:dyDescent="0.3">
      <c r="A106">
        <v>21282</v>
      </c>
      <c r="B106">
        <v>2021</v>
      </c>
      <c r="C106">
        <v>802</v>
      </c>
      <c r="D106">
        <v>802</v>
      </c>
      <c r="E106">
        <v>3</v>
      </c>
      <c r="F106" t="s">
        <v>83</v>
      </c>
      <c r="G106" t="s">
        <v>83</v>
      </c>
      <c r="H106">
        <v>3</v>
      </c>
      <c r="I106">
        <v>3</v>
      </c>
      <c r="J106">
        <v>4</v>
      </c>
      <c r="K106">
        <v>75</v>
      </c>
      <c r="L106" t="s">
        <v>83</v>
      </c>
      <c r="M106" t="s">
        <v>83</v>
      </c>
      <c r="N106" t="s">
        <v>83</v>
      </c>
      <c r="O106" t="s">
        <v>83</v>
      </c>
      <c r="P106" t="s">
        <v>83</v>
      </c>
      <c r="Q106">
        <v>-0.3</v>
      </c>
      <c r="R106" t="s">
        <v>83</v>
      </c>
      <c r="S106" t="s">
        <v>83</v>
      </c>
      <c r="T106" t="s">
        <v>83</v>
      </c>
      <c r="U106" t="s">
        <v>83</v>
      </c>
      <c r="V106" t="s">
        <v>83</v>
      </c>
      <c r="W106" t="s">
        <v>83</v>
      </c>
      <c r="X106" t="s">
        <v>83</v>
      </c>
      <c r="Y106" t="s">
        <v>83</v>
      </c>
      <c r="Z106" t="s">
        <v>83</v>
      </c>
      <c r="AA106" t="s">
        <v>83</v>
      </c>
      <c r="AB106" t="s">
        <v>83</v>
      </c>
      <c r="AC106" t="s">
        <v>83</v>
      </c>
      <c r="AD106">
        <v>2</v>
      </c>
      <c r="AE106" t="s">
        <v>83</v>
      </c>
      <c r="AF106" t="s">
        <v>83</v>
      </c>
      <c r="AG106" t="s">
        <v>83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2</v>
      </c>
      <c r="AQ106">
        <v>0</v>
      </c>
      <c r="AR106">
        <v>0.66100689878140895</v>
      </c>
      <c r="AS106" t="s">
        <v>83</v>
      </c>
      <c r="AT106" t="s">
        <v>83</v>
      </c>
      <c r="AU106" t="s">
        <v>83</v>
      </c>
      <c r="AV106" t="s">
        <v>83</v>
      </c>
      <c r="AW106" t="s">
        <v>83</v>
      </c>
      <c r="AX106" t="s">
        <v>83</v>
      </c>
      <c r="AY106">
        <v>0.50118723362727202</v>
      </c>
      <c r="AZ106" t="s">
        <v>83</v>
      </c>
      <c r="BA106" t="s">
        <v>83</v>
      </c>
      <c r="BB106" t="s">
        <v>83</v>
      </c>
      <c r="BC106" t="s">
        <v>83</v>
      </c>
      <c r="BD106" t="s">
        <v>83</v>
      </c>
      <c r="BE106" t="s">
        <v>83</v>
      </c>
      <c r="BF106" t="s">
        <v>83</v>
      </c>
      <c r="BG106" t="s">
        <v>83</v>
      </c>
      <c r="BH106" t="s">
        <v>83</v>
      </c>
      <c r="BI106" t="s">
        <v>83</v>
      </c>
      <c r="BJ106" t="s">
        <v>83</v>
      </c>
      <c r="BK106" t="s">
        <v>83</v>
      </c>
      <c r="BL106" t="s">
        <v>83</v>
      </c>
      <c r="BM106">
        <v>100</v>
      </c>
      <c r="BN106" t="s">
        <v>83</v>
      </c>
      <c r="BO106" t="s">
        <v>83</v>
      </c>
      <c r="BP106">
        <v>100.50118723362699</v>
      </c>
      <c r="BQ106">
        <v>1.7</v>
      </c>
    </row>
    <row r="107" spans="1:69" x14ac:dyDescent="0.3">
      <c r="A107">
        <v>21283</v>
      </c>
      <c r="B107">
        <v>2021</v>
      </c>
      <c r="C107">
        <v>952</v>
      </c>
      <c r="D107">
        <v>952</v>
      </c>
      <c r="E107">
        <v>3</v>
      </c>
      <c r="F107" t="s">
        <v>142</v>
      </c>
      <c r="G107" t="s">
        <v>83</v>
      </c>
      <c r="H107">
        <v>2</v>
      </c>
      <c r="I107">
        <v>5</v>
      </c>
      <c r="J107">
        <v>6</v>
      </c>
      <c r="K107">
        <v>33</v>
      </c>
      <c r="L107">
        <v>0</v>
      </c>
      <c r="M107" t="s">
        <v>83</v>
      </c>
      <c r="N107" t="s">
        <v>83</v>
      </c>
      <c r="O107" t="s">
        <v>83</v>
      </c>
      <c r="P107" t="s">
        <v>83</v>
      </c>
      <c r="Q107" t="s">
        <v>83</v>
      </c>
      <c r="R107" t="s">
        <v>83</v>
      </c>
      <c r="S107">
        <v>0.1</v>
      </c>
      <c r="T107" t="s">
        <v>83</v>
      </c>
      <c r="U107" t="s">
        <v>83</v>
      </c>
      <c r="V107" t="s">
        <v>83</v>
      </c>
      <c r="W107" t="s">
        <v>83</v>
      </c>
      <c r="X107" t="s">
        <v>83</v>
      </c>
      <c r="Y107" t="s">
        <v>83</v>
      </c>
      <c r="Z107" t="s">
        <v>83</v>
      </c>
      <c r="AA107" t="s">
        <v>83</v>
      </c>
      <c r="AB107" t="s">
        <v>83</v>
      </c>
      <c r="AC107" t="s">
        <v>83</v>
      </c>
      <c r="AD107">
        <v>2</v>
      </c>
      <c r="AE107" t="s">
        <v>83</v>
      </c>
      <c r="AF107" t="s">
        <v>83</v>
      </c>
      <c r="AG107" t="s">
        <v>83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2</v>
      </c>
      <c r="AQ107">
        <v>0</v>
      </c>
      <c r="AR107">
        <v>-0.796513313031597</v>
      </c>
      <c r="AS107">
        <v>-1.18819828996463</v>
      </c>
      <c r="AT107" t="s">
        <v>83</v>
      </c>
      <c r="AU107" t="s">
        <v>83</v>
      </c>
      <c r="AV107" t="s">
        <v>83</v>
      </c>
      <c r="AW107" t="s">
        <v>83</v>
      </c>
      <c r="AX107" t="s">
        <v>83</v>
      </c>
      <c r="AY107" t="s">
        <v>83</v>
      </c>
      <c r="AZ107" t="s">
        <v>83</v>
      </c>
      <c r="BA107">
        <v>1.2589254117941699</v>
      </c>
      <c r="BB107" t="s">
        <v>83</v>
      </c>
      <c r="BC107" t="s">
        <v>83</v>
      </c>
      <c r="BD107" t="s">
        <v>83</v>
      </c>
      <c r="BE107" t="s">
        <v>83</v>
      </c>
      <c r="BF107" t="s">
        <v>83</v>
      </c>
      <c r="BG107" t="s">
        <v>83</v>
      </c>
      <c r="BH107" t="s">
        <v>83</v>
      </c>
      <c r="BI107" t="s">
        <v>83</v>
      </c>
      <c r="BJ107" t="s">
        <v>83</v>
      </c>
      <c r="BK107" t="s">
        <v>83</v>
      </c>
      <c r="BL107" t="s">
        <v>83</v>
      </c>
      <c r="BM107">
        <v>100</v>
      </c>
      <c r="BN107" t="s">
        <v>83</v>
      </c>
      <c r="BO107" t="s">
        <v>83</v>
      </c>
      <c r="BP107">
        <v>101.258925411794</v>
      </c>
      <c r="BQ107">
        <v>2.1</v>
      </c>
    </row>
    <row r="108" spans="1:69" x14ac:dyDescent="0.3">
      <c r="A108">
        <v>21284</v>
      </c>
      <c r="B108">
        <v>2021</v>
      </c>
      <c r="C108">
        <v>1901</v>
      </c>
      <c r="D108">
        <v>1901</v>
      </c>
      <c r="E108">
        <v>3</v>
      </c>
      <c r="F108" t="s">
        <v>146</v>
      </c>
      <c r="G108">
        <v>4</v>
      </c>
      <c r="H108">
        <v>2</v>
      </c>
      <c r="I108">
        <v>2</v>
      </c>
      <c r="J108">
        <v>3</v>
      </c>
      <c r="K108">
        <v>67</v>
      </c>
      <c r="L108">
        <v>5.5556000000000001E-2</v>
      </c>
      <c r="M108">
        <v>-2.9</v>
      </c>
      <c r="N108">
        <v>-3.9</v>
      </c>
      <c r="O108">
        <v>-4</v>
      </c>
      <c r="P108">
        <v>-4.2</v>
      </c>
      <c r="Q108">
        <v>-3.6</v>
      </c>
      <c r="R108">
        <v>-5.5</v>
      </c>
      <c r="S108">
        <v>-4.2</v>
      </c>
      <c r="T108" t="s">
        <v>83</v>
      </c>
      <c r="U108" t="s">
        <v>83</v>
      </c>
      <c r="V108">
        <v>-3.8</v>
      </c>
      <c r="W108" t="s">
        <v>83</v>
      </c>
      <c r="X108">
        <v>-3</v>
      </c>
      <c r="Y108" t="s">
        <v>83</v>
      </c>
      <c r="Z108" t="s">
        <v>83</v>
      </c>
      <c r="AA108" t="s">
        <v>83</v>
      </c>
      <c r="AB108" t="s">
        <v>83</v>
      </c>
      <c r="AC108">
        <v>0</v>
      </c>
      <c r="AD108">
        <v>-0.3</v>
      </c>
      <c r="AE108">
        <v>-4.4000000000000004</v>
      </c>
      <c r="AF108" t="s">
        <v>83</v>
      </c>
      <c r="AG108" t="s">
        <v>83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5</v>
      </c>
      <c r="AQ108">
        <v>1</v>
      </c>
      <c r="AR108">
        <v>0.38338400129321698</v>
      </c>
      <c r="AS108">
        <v>-0.71121196486504301</v>
      </c>
      <c r="AT108">
        <v>-0.92937002063436902</v>
      </c>
      <c r="AU108">
        <v>1.2589254117941701E-3</v>
      </c>
      <c r="AV108">
        <v>1.2589254117941699E-4</v>
      </c>
      <c r="AW108" s="1" t="s">
        <v>103</v>
      </c>
      <c r="AX108" s="1" t="s">
        <v>89</v>
      </c>
      <c r="AY108">
        <v>2.5118864315095801E-4</v>
      </c>
      <c r="AZ108" s="1" t="s">
        <v>132</v>
      </c>
      <c r="BA108" s="1" t="s">
        <v>89</v>
      </c>
      <c r="BB108" t="s">
        <v>83</v>
      </c>
      <c r="BC108" t="s">
        <v>83</v>
      </c>
      <c r="BD108">
        <v>1.5848931924611101E-4</v>
      </c>
      <c r="BE108" t="s">
        <v>83</v>
      </c>
      <c r="BF108">
        <v>1E-3</v>
      </c>
      <c r="BG108" t="s">
        <v>83</v>
      </c>
      <c r="BH108" t="s">
        <v>83</v>
      </c>
      <c r="BI108" t="s">
        <v>83</v>
      </c>
      <c r="BJ108" t="s">
        <v>83</v>
      </c>
      <c r="BK108">
        <v>1</v>
      </c>
      <c r="BL108" s="1" t="s">
        <v>88</v>
      </c>
      <c r="BM108">
        <v>0.50118723362727202</v>
      </c>
      <c r="BN108" t="s">
        <v>83</v>
      </c>
      <c r="BO108" t="s">
        <v>83</v>
      </c>
      <c r="BP108">
        <v>1.50425089400625</v>
      </c>
      <c r="BQ108">
        <v>-39.799999999999997</v>
      </c>
    </row>
    <row r="109" spans="1:69" x14ac:dyDescent="0.3">
      <c r="A109">
        <v>21285</v>
      </c>
      <c r="B109">
        <v>2021</v>
      </c>
      <c r="C109">
        <v>35</v>
      </c>
      <c r="D109">
        <v>35</v>
      </c>
      <c r="E109">
        <v>3</v>
      </c>
      <c r="F109" t="s">
        <v>93</v>
      </c>
      <c r="G109">
        <v>6</v>
      </c>
      <c r="H109">
        <v>3</v>
      </c>
      <c r="I109">
        <v>3</v>
      </c>
      <c r="J109">
        <v>4</v>
      </c>
      <c r="K109">
        <v>75</v>
      </c>
      <c r="L109">
        <v>0.16666666499999999</v>
      </c>
      <c r="M109" t="s">
        <v>83</v>
      </c>
      <c r="N109" t="s">
        <v>83</v>
      </c>
      <c r="O109" t="s">
        <v>83</v>
      </c>
      <c r="P109" t="s">
        <v>83</v>
      </c>
      <c r="Q109">
        <v>0.2</v>
      </c>
      <c r="R109" t="s">
        <v>83</v>
      </c>
      <c r="S109">
        <v>-0.3</v>
      </c>
      <c r="T109" t="s">
        <v>83</v>
      </c>
      <c r="U109" t="s">
        <v>83</v>
      </c>
      <c r="V109" t="s">
        <v>83</v>
      </c>
      <c r="W109" t="s">
        <v>83</v>
      </c>
      <c r="X109" t="s">
        <v>83</v>
      </c>
      <c r="Y109" t="s">
        <v>83</v>
      </c>
      <c r="Z109" t="s">
        <v>83</v>
      </c>
      <c r="AA109" t="s">
        <v>83</v>
      </c>
      <c r="AB109" t="s">
        <v>83</v>
      </c>
      <c r="AC109">
        <v>1.4</v>
      </c>
      <c r="AD109">
        <v>2</v>
      </c>
      <c r="AE109">
        <v>0.7</v>
      </c>
      <c r="AF109" t="s">
        <v>83</v>
      </c>
      <c r="AG109" t="s">
        <v>83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3</v>
      </c>
      <c r="AQ109">
        <v>1</v>
      </c>
      <c r="AR109">
        <v>0.66100689878140895</v>
      </c>
      <c r="AS109">
        <v>0.242749223444433</v>
      </c>
      <c r="AT109">
        <v>-0.48271409081760103</v>
      </c>
      <c r="AU109" t="s">
        <v>83</v>
      </c>
      <c r="AV109" t="s">
        <v>83</v>
      </c>
      <c r="AW109" t="s">
        <v>83</v>
      </c>
      <c r="AX109" t="s">
        <v>83</v>
      </c>
      <c r="AY109">
        <v>1.58489319246111</v>
      </c>
      <c r="AZ109" t="s">
        <v>83</v>
      </c>
      <c r="BA109">
        <v>0.50118723362727202</v>
      </c>
      <c r="BB109" t="s">
        <v>83</v>
      </c>
      <c r="BC109" t="s">
        <v>83</v>
      </c>
      <c r="BD109" t="s">
        <v>83</v>
      </c>
      <c r="BE109" t="s">
        <v>83</v>
      </c>
      <c r="BF109" t="s">
        <v>83</v>
      </c>
      <c r="BG109" t="s">
        <v>83</v>
      </c>
      <c r="BH109" t="s">
        <v>83</v>
      </c>
      <c r="BI109" t="s">
        <v>83</v>
      </c>
      <c r="BJ109" t="s">
        <v>83</v>
      </c>
      <c r="BK109">
        <v>25.118864315095799</v>
      </c>
      <c r="BL109">
        <v>5.0118723362727202</v>
      </c>
      <c r="BM109">
        <v>100</v>
      </c>
      <c r="BN109" t="s">
        <v>83</v>
      </c>
      <c r="BO109" t="s">
        <v>83</v>
      </c>
      <c r="BP109">
        <v>132.21681707745699</v>
      </c>
      <c r="BQ109">
        <v>4</v>
      </c>
    </row>
    <row r="110" spans="1:69" x14ac:dyDescent="0.3">
      <c r="A110">
        <v>21286</v>
      </c>
      <c r="B110">
        <v>2021</v>
      </c>
      <c r="C110">
        <v>34</v>
      </c>
      <c r="D110">
        <v>34</v>
      </c>
      <c r="E110">
        <v>3</v>
      </c>
      <c r="F110" t="s">
        <v>90</v>
      </c>
      <c r="G110">
        <v>11</v>
      </c>
      <c r="H110">
        <v>4</v>
      </c>
      <c r="I110">
        <v>4</v>
      </c>
      <c r="J110">
        <v>5</v>
      </c>
      <c r="K110">
        <v>80</v>
      </c>
      <c r="L110">
        <v>5.5556000000000001E-2</v>
      </c>
      <c r="M110" t="s">
        <v>83</v>
      </c>
      <c r="N110" t="s">
        <v>83</v>
      </c>
      <c r="O110" t="s">
        <v>83</v>
      </c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83</v>
      </c>
      <c r="V110" t="s">
        <v>83</v>
      </c>
      <c r="W110" t="s">
        <v>83</v>
      </c>
      <c r="X110">
        <v>0.5</v>
      </c>
      <c r="Y110" t="s">
        <v>83</v>
      </c>
      <c r="Z110" t="s">
        <v>83</v>
      </c>
      <c r="AA110" t="s">
        <v>83</v>
      </c>
      <c r="AB110" t="s">
        <v>83</v>
      </c>
      <c r="AC110" t="s">
        <v>83</v>
      </c>
      <c r="AD110">
        <v>1.7</v>
      </c>
      <c r="AE110" t="s">
        <v>83</v>
      </c>
      <c r="AF110" t="s">
        <v>83</v>
      </c>
      <c r="AG110" t="s">
        <v>83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2</v>
      </c>
      <c r="AQ110">
        <v>0</v>
      </c>
      <c r="AR110">
        <v>0.83452120971152799</v>
      </c>
      <c r="AS110">
        <v>-0.71121196486504301</v>
      </c>
      <c r="AT110">
        <v>0.63392573372431904</v>
      </c>
      <c r="AU110" t="s">
        <v>83</v>
      </c>
      <c r="AV110" t="s">
        <v>83</v>
      </c>
      <c r="AW110" t="s">
        <v>83</v>
      </c>
      <c r="AX110" t="s">
        <v>83</v>
      </c>
      <c r="AY110" t="s">
        <v>83</v>
      </c>
      <c r="AZ110" t="s">
        <v>83</v>
      </c>
      <c r="BA110" t="s">
        <v>83</v>
      </c>
      <c r="BB110" t="s">
        <v>83</v>
      </c>
      <c r="BC110" t="s">
        <v>83</v>
      </c>
      <c r="BD110" t="s">
        <v>83</v>
      </c>
      <c r="BE110" t="s">
        <v>83</v>
      </c>
      <c r="BF110">
        <v>3.16227766016838</v>
      </c>
      <c r="BG110" t="s">
        <v>83</v>
      </c>
      <c r="BH110" t="s">
        <v>83</v>
      </c>
      <c r="BI110" t="s">
        <v>83</v>
      </c>
      <c r="BJ110" t="s">
        <v>83</v>
      </c>
      <c r="BK110" t="s">
        <v>83</v>
      </c>
      <c r="BL110" t="s">
        <v>83</v>
      </c>
      <c r="BM110">
        <v>50.118723362727202</v>
      </c>
      <c r="BN110" t="s">
        <v>83</v>
      </c>
      <c r="BO110" t="s">
        <v>83</v>
      </c>
      <c r="BP110">
        <v>53.281001022895602</v>
      </c>
      <c r="BQ110">
        <v>2.2000000000000002</v>
      </c>
    </row>
    <row r="111" spans="1:69" x14ac:dyDescent="0.3">
      <c r="A111">
        <v>21287</v>
      </c>
      <c r="B111">
        <v>2021</v>
      </c>
      <c r="C111">
        <v>1907</v>
      </c>
      <c r="D111">
        <v>1907</v>
      </c>
      <c r="E111">
        <v>3</v>
      </c>
      <c r="F111" t="s">
        <v>123</v>
      </c>
      <c r="G111">
        <v>6</v>
      </c>
      <c r="H111">
        <v>2</v>
      </c>
      <c r="I111">
        <v>3</v>
      </c>
      <c r="J111">
        <v>4</v>
      </c>
      <c r="K111">
        <v>50</v>
      </c>
      <c r="L111">
        <v>0.19444444499999999</v>
      </c>
      <c r="M111" t="s">
        <v>83</v>
      </c>
      <c r="N111" t="s">
        <v>83</v>
      </c>
      <c r="O111" t="s">
        <v>83</v>
      </c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83</v>
      </c>
      <c r="V111" t="s">
        <v>83</v>
      </c>
      <c r="W111" t="s">
        <v>83</v>
      </c>
      <c r="X111" t="s">
        <v>83</v>
      </c>
      <c r="Y111" t="s">
        <v>83</v>
      </c>
      <c r="Z111" t="s">
        <v>83</v>
      </c>
      <c r="AA111" t="s">
        <v>83</v>
      </c>
      <c r="AB111" t="s">
        <v>83</v>
      </c>
      <c r="AC111" t="s">
        <v>83</v>
      </c>
      <c r="AD111">
        <v>1</v>
      </c>
      <c r="AE111" t="s">
        <v>83</v>
      </c>
      <c r="AF111" t="s">
        <v>83</v>
      </c>
      <c r="AG111" t="s">
        <v>83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-0.20656465586919001</v>
      </c>
      <c r="AS111">
        <v>0.48124049714348999</v>
      </c>
      <c r="AT111">
        <v>-0.48271409081760103</v>
      </c>
      <c r="AU111" t="s">
        <v>83</v>
      </c>
      <c r="AV111" t="s">
        <v>83</v>
      </c>
      <c r="AW111" t="s">
        <v>83</v>
      </c>
      <c r="AX111" t="s">
        <v>83</v>
      </c>
      <c r="AY111" t="s">
        <v>83</v>
      </c>
      <c r="AZ111" t="s">
        <v>83</v>
      </c>
      <c r="BA111" t="s">
        <v>83</v>
      </c>
      <c r="BB111" t="s">
        <v>83</v>
      </c>
      <c r="BC111" t="s">
        <v>83</v>
      </c>
      <c r="BD111" t="s">
        <v>83</v>
      </c>
      <c r="BE111" t="s">
        <v>83</v>
      </c>
      <c r="BF111" t="s">
        <v>83</v>
      </c>
      <c r="BG111" t="s">
        <v>83</v>
      </c>
      <c r="BH111" t="s">
        <v>83</v>
      </c>
      <c r="BI111" t="s">
        <v>83</v>
      </c>
      <c r="BJ111" t="s">
        <v>83</v>
      </c>
      <c r="BK111" t="s">
        <v>83</v>
      </c>
      <c r="BL111" t="s">
        <v>83</v>
      </c>
      <c r="BM111">
        <v>10</v>
      </c>
      <c r="BN111" t="s">
        <v>83</v>
      </c>
      <c r="BO111" t="s">
        <v>83</v>
      </c>
      <c r="BP111">
        <v>10</v>
      </c>
      <c r="BQ111">
        <v>1</v>
      </c>
    </row>
    <row r="112" spans="1:69" x14ac:dyDescent="0.3">
      <c r="A112">
        <v>21288</v>
      </c>
      <c r="B112">
        <v>2021</v>
      </c>
      <c r="C112">
        <v>143</v>
      </c>
      <c r="D112">
        <v>143</v>
      </c>
      <c r="E112">
        <v>3</v>
      </c>
      <c r="F112" t="s">
        <v>140</v>
      </c>
      <c r="G112">
        <v>4</v>
      </c>
      <c r="H112">
        <v>3</v>
      </c>
      <c r="I112">
        <v>3</v>
      </c>
      <c r="J112">
        <v>4</v>
      </c>
      <c r="K112">
        <v>75</v>
      </c>
      <c r="L112">
        <v>0</v>
      </c>
      <c r="M112">
        <v>-2.2999999999999998</v>
      </c>
      <c r="N112">
        <v>-2.1</v>
      </c>
      <c r="O112">
        <v>-2.9</v>
      </c>
      <c r="P112">
        <v>-2.9</v>
      </c>
      <c r="Q112" t="s">
        <v>83</v>
      </c>
      <c r="R112">
        <v>-3.1</v>
      </c>
      <c r="S112">
        <v>-2.1</v>
      </c>
      <c r="T112" t="s">
        <v>83</v>
      </c>
      <c r="U112">
        <v>-2.5</v>
      </c>
      <c r="V112">
        <v>-1.4</v>
      </c>
      <c r="W112">
        <v>-2.8</v>
      </c>
      <c r="X112">
        <v>-1.1000000000000001</v>
      </c>
      <c r="Y112" t="s">
        <v>83</v>
      </c>
      <c r="Z112" t="s">
        <v>83</v>
      </c>
      <c r="AA112">
        <v>-1.5</v>
      </c>
      <c r="AB112" t="s">
        <v>83</v>
      </c>
      <c r="AC112">
        <v>-0.2</v>
      </c>
      <c r="AD112">
        <v>0</v>
      </c>
      <c r="AE112">
        <v>-3.5</v>
      </c>
      <c r="AF112" t="s">
        <v>83</v>
      </c>
      <c r="AG112" t="s">
        <v>83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6</v>
      </c>
      <c r="AQ112">
        <v>1</v>
      </c>
      <c r="AR112">
        <v>0.66100689878140895</v>
      </c>
      <c r="AS112">
        <v>-1.18819828996463</v>
      </c>
      <c r="AT112">
        <v>-0.92937002063436902</v>
      </c>
      <c r="AU112">
        <v>5.0118723362727203E-3</v>
      </c>
      <c r="AV112">
        <v>7.9432823472428103E-3</v>
      </c>
      <c r="AW112">
        <v>1.2589254117941701E-3</v>
      </c>
      <c r="AX112">
        <v>1.2589254117941701E-3</v>
      </c>
      <c r="AY112" t="s">
        <v>83</v>
      </c>
      <c r="AZ112">
        <v>7.9432823472428099E-4</v>
      </c>
      <c r="BA112">
        <v>7.9432823472428103E-3</v>
      </c>
      <c r="BB112" t="s">
        <v>83</v>
      </c>
      <c r="BC112">
        <v>3.1622776601683798E-3</v>
      </c>
      <c r="BD112">
        <v>3.9810717055349699E-2</v>
      </c>
      <c r="BE112">
        <v>1.58489319246111E-3</v>
      </c>
      <c r="BF112">
        <v>7.9432823472428096E-2</v>
      </c>
      <c r="BG112" t="s">
        <v>83</v>
      </c>
      <c r="BH112" t="s">
        <v>83</v>
      </c>
      <c r="BI112">
        <v>3.1622776601683798E-2</v>
      </c>
      <c r="BJ112" t="s">
        <v>83</v>
      </c>
      <c r="BK112">
        <v>0.63095734448019303</v>
      </c>
      <c r="BL112">
        <v>3.1622776601683799E-4</v>
      </c>
      <c r="BM112">
        <v>1</v>
      </c>
      <c r="BN112" t="s">
        <v>83</v>
      </c>
      <c r="BO112" t="s">
        <v>83</v>
      </c>
      <c r="BP112">
        <v>1.8110976763173701</v>
      </c>
      <c r="BQ112">
        <v>-28.4</v>
      </c>
    </row>
    <row r="113" spans="1:69" x14ac:dyDescent="0.3">
      <c r="A113">
        <v>21289</v>
      </c>
      <c r="B113">
        <v>2021</v>
      </c>
      <c r="C113">
        <v>157</v>
      </c>
      <c r="D113">
        <v>157</v>
      </c>
      <c r="E113">
        <v>3</v>
      </c>
      <c r="F113" t="s">
        <v>138</v>
      </c>
      <c r="G113">
        <v>10</v>
      </c>
      <c r="H113">
        <v>3</v>
      </c>
      <c r="I113">
        <v>3</v>
      </c>
      <c r="J113">
        <v>5</v>
      </c>
      <c r="K113">
        <v>60</v>
      </c>
      <c r="L113">
        <v>0.27777777999999997</v>
      </c>
      <c r="M113">
        <v>-3.2</v>
      </c>
      <c r="N113" t="s">
        <v>83</v>
      </c>
      <c r="O113">
        <v>-3.8</v>
      </c>
      <c r="P113">
        <v>-0.4</v>
      </c>
      <c r="Q113" t="s">
        <v>83</v>
      </c>
      <c r="R113">
        <v>-3.9</v>
      </c>
      <c r="S113">
        <v>-0.7</v>
      </c>
      <c r="T113" t="s">
        <v>83</v>
      </c>
      <c r="U113" t="s">
        <v>83</v>
      </c>
      <c r="V113" t="s">
        <v>83</v>
      </c>
      <c r="W113">
        <v>-2.1</v>
      </c>
      <c r="X113">
        <v>-2.6</v>
      </c>
      <c r="Y113" t="s">
        <v>83</v>
      </c>
      <c r="Z113" t="s">
        <v>83</v>
      </c>
      <c r="AA113">
        <v>-2</v>
      </c>
      <c r="AB113" t="s">
        <v>83</v>
      </c>
      <c r="AC113">
        <v>-1</v>
      </c>
      <c r="AD113">
        <v>-0.9</v>
      </c>
      <c r="AE113" t="s">
        <v>83</v>
      </c>
      <c r="AF113" t="s">
        <v>83</v>
      </c>
      <c r="AG113" t="s">
        <v>83</v>
      </c>
      <c r="AH113">
        <v>1</v>
      </c>
      <c r="AI113">
        <v>0</v>
      </c>
      <c r="AJ113">
        <v>1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5</v>
      </c>
      <c r="AQ113">
        <v>1</v>
      </c>
      <c r="AR113">
        <v>0.14046396599104899</v>
      </c>
      <c r="AS113">
        <v>1.19671427531223</v>
      </c>
      <c r="AT113">
        <v>0.41059776881593502</v>
      </c>
      <c r="AU113">
        <v>6.3095734448019298E-4</v>
      </c>
      <c r="AV113" t="s">
        <v>83</v>
      </c>
      <c r="AW113">
        <v>1.5848931924611101E-4</v>
      </c>
      <c r="AX113">
        <v>0.39810717055349698</v>
      </c>
      <c r="AY113" t="s">
        <v>83</v>
      </c>
      <c r="AZ113">
        <v>1.2589254117941699E-4</v>
      </c>
      <c r="BA113">
        <v>0.199526231496888</v>
      </c>
      <c r="BB113" t="s">
        <v>83</v>
      </c>
      <c r="BC113" t="s">
        <v>83</v>
      </c>
      <c r="BD113" t="s">
        <v>83</v>
      </c>
      <c r="BE113">
        <v>7.9432823472428103E-3</v>
      </c>
      <c r="BF113">
        <v>2.5118864315095799E-3</v>
      </c>
      <c r="BG113" t="s">
        <v>83</v>
      </c>
      <c r="BH113" t="s">
        <v>83</v>
      </c>
      <c r="BI113">
        <v>0.01</v>
      </c>
      <c r="BJ113" t="s">
        <v>83</v>
      </c>
      <c r="BK113">
        <v>0.1</v>
      </c>
      <c r="BL113" t="s">
        <v>83</v>
      </c>
      <c r="BM113">
        <v>0.12589254117941701</v>
      </c>
      <c r="BN113" t="s">
        <v>83</v>
      </c>
      <c r="BO113" t="s">
        <v>83</v>
      </c>
      <c r="BP113">
        <v>0.84489645121346002</v>
      </c>
      <c r="BQ113">
        <v>-20.6</v>
      </c>
    </row>
    <row r="114" spans="1:69" x14ac:dyDescent="0.3">
      <c r="A114">
        <v>21290</v>
      </c>
      <c r="B114">
        <v>2021</v>
      </c>
      <c r="C114">
        <v>301</v>
      </c>
      <c r="D114" t="s">
        <v>127</v>
      </c>
      <c r="E114">
        <v>3</v>
      </c>
      <c r="F114" t="s">
        <v>128</v>
      </c>
      <c r="G114">
        <v>7</v>
      </c>
      <c r="H114">
        <v>4</v>
      </c>
      <c r="I114">
        <v>4</v>
      </c>
      <c r="J114">
        <v>5</v>
      </c>
      <c r="K114">
        <v>80</v>
      </c>
      <c r="L114">
        <v>0.44444400000000001</v>
      </c>
      <c r="M114" t="s">
        <v>83</v>
      </c>
      <c r="N114">
        <v>-3.2</v>
      </c>
      <c r="O114" t="s">
        <v>83</v>
      </c>
      <c r="P114">
        <v>-3.7</v>
      </c>
      <c r="Q114" t="s">
        <v>83</v>
      </c>
      <c r="R114">
        <v>-4.0999999999999996</v>
      </c>
      <c r="S114">
        <v>-2.2999999999999998</v>
      </c>
      <c r="T114" t="s">
        <v>83</v>
      </c>
      <c r="U114" t="s">
        <v>83</v>
      </c>
      <c r="V114">
        <v>-2.9</v>
      </c>
      <c r="W114">
        <v>-0.8</v>
      </c>
      <c r="X114">
        <v>-2.8</v>
      </c>
      <c r="Y114" t="s">
        <v>83</v>
      </c>
      <c r="Z114" t="s">
        <v>83</v>
      </c>
      <c r="AA114">
        <v>-0.9</v>
      </c>
      <c r="AB114" t="s">
        <v>83</v>
      </c>
      <c r="AC114">
        <v>-0.9</v>
      </c>
      <c r="AD114">
        <v>-1.3</v>
      </c>
      <c r="AE114">
        <v>-2.2999999999999998</v>
      </c>
      <c r="AF114" t="s">
        <v>83</v>
      </c>
      <c r="AG114" t="s">
        <v>83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0</v>
      </c>
      <c r="AP114">
        <v>6</v>
      </c>
      <c r="AQ114">
        <v>1</v>
      </c>
      <c r="AR114">
        <v>0.83452120971152799</v>
      </c>
      <c r="AS114">
        <v>2.6276579680914001</v>
      </c>
      <c r="AT114">
        <v>-0.259386125909217</v>
      </c>
      <c r="AU114" t="s">
        <v>83</v>
      </c>
      <c r="AV114">
        <v>6.3095734448019298E-4</v>
      </c>
      <c r="AW114" t="s">
        <v>83</v>
      </c>
      <c r="AX114">
        <v>1.9952623149688801E-4</v>
      </c>
      <c r="AY114" t="s">
        <v>83</v>
      </c>
      <c r="AZ114" s="1" t="s">
        <v>87</v>
      </c>
      <c r="BA114">
        <v>5.0118723362727203E-3</v>
      </c>
      <c r="BB114" t="s">
        <v>83</v>
      </c>
      <c r="BC114" t="s">
        <v>83</v>
      </c>
      <c r="BD114">
        <v>1.2589254117941701E-3</v>
      </c>
      <c r="BE114">
        <v>0.15848931924611101</v>
      </c>
      <c r="BF114">
        <v>1.58489319246111E-3</v>
      </c>
      <c r="BG114" t="s">
        <v>83</v>
      </c>
      <c r="BH114" t="s">
        <v>83</v>
      </c>
      <c r="BI114">
        <v>0.12589254117941701</v>
      </c>
      <c r="BJ114" t="s">
        <v>83</v>
      </c>
      <c r="BK114">
        <v>0.12589254117941701</v>
      </c>
      <c r="BL114">
        <v>5.0118723362727203E-3</v>
      </c>
      <c r="BM114">
        <v>5.0118723362727199E-2</v>
      </c>
      <c r="BN114" t="s">
        <v>83</v>
      </c>
      <c r="BO114" t="s">
        <v>83</v>
      </c>
      <c r="BP114">
        <v>0.47417060464392202</v>
      </c>
      <c r="BQ114">
        <v>-25.2</v>
      </c>
    </row>
    <row r="115" spans="1:69" x14ac:dyDescent="0.3">
      <c r="A115">
        <v>21291</v>
      </c>
      <c r="B115">
        <v>2021</v>
      </c>
      <c r="C115">
        <v>109</v>
      </c>
      <c r="D115">
        <v>109</v>
      </c>
      <c r="E115">
        <v>3</v>
      </c>
      <c r="F115" t="s">
        <v>95</v>
      </c>
      <c r="G115">
        <v>6</v>
      </c>
      <c r="H115">
        <v>2</v>
      </c>
      <c r="I115">
        <v>2</v>
      </c>
      <c r="J115">
        <v>5</v>
      </c>
      <c r="K115">
        <v>40</v>
      </c>
      <c r="L115">
        <v>0.222222</v>
      </c>
      <c r="M115" t="s">
        <v>83</v>
      </c>
      <c r="N115" t="s">
        <v>83</v>
      </c>
      <c r="O115" t="s">
        <v>83</v>
      </c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83</v>
      </c>
      <c r="V115" t="s">
        <v>83</v>
      </c>
      <c r="W115" t="s">
        <v>83</v>
      </c>
      <c r="X115" t="s">
        <v>83</v>
      </c>
      <c r="Y115" t="s">
        <v>83</v>
      </c>
      <c r="Z115" t="s">
        <v>83</v>
      </c>
      <c r="AA115" t="s">
        <v>83</v>
      </c>
      <c r="AB115" t="s">
        <v>83</v>
      </c>
      <c r="AC115" t="s">
        <v>83</v>
      </c>
      <c r="AD115">
        <v>0.8</v>
      </c>
      <c r="AE115" t="s">
        <v>83</v>
      </c>
      <c r="AF115" t="s">
        <v>83</v>
      </c>
      <c r="AG115" t="s">
        <v>83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1</v>
      </c>
      <c r="AQ115">
        <v>0</v>
      </c>
      <c r="AR115">
        <v>-0.55359327772942901</v>
      </c>
      <c r="AS115">
        <v>0.71972983906338395</v>
      </c>
      <c r="AT115">
        <v>-0.48271409081760103</v>
      </c>
      <c r="AU115" t="s">
        <v>83</v>
      </c>
      <c r="AV115" t="s">
        <v>83</v>
      </c>
      <c r="AW115" t="s">
        <v>83</v>
      </c>
      <c r="AX115" t="s">
        <v>83</v>
      </c>
      <c r="AY115" t="s">
        <v>83</v>
      </c>
      <c r="AZ115" t="s">
        <v>83</v>
      </c>
      <c r="BA115" t="s">
        <v>83</v>
      </c>
      <c r="BB115" t="s">
        <v>83</v>
      </c>
      <c r="BC115" t="s">
        <v>83</v>
      </c>
      <c r="BD115" t="s">
        <v>83</v>
      </c>
      <c r="BE115" t="s">
        <v>83</v>
      </c>
      <c r="BF115" t="s">
        <v>83</v>
      </c>
      <c r="BG115" t="s">
        <v>83</v>
      </c>
      <c r="BH115" t="s">
        <v>83</v>
      </c>
      <c r="BI115" t="s">
        <v>83</v>
      </c>
      <c r="BJ115" t="s">
        <v>83</v>
      </c>
      <c r="BK115" t="s">
        <v>83</v>
      </c>
      <c r="BL115" t="s">
        <v>83</v>
      </c>
      <c r="BM115">
        <v>6.3095734448019298</v>
      </c>
      <c r="BN115" t="s">
        <v>83</v>
      </c>
      <c r="BO115" t="s">
        <v>83</v>
      </c>
      <c r="BP115">
        <v>6.3095734448019298</v>
      </c>
      <c r="BQ115">
        <v>0.8</v>
      </c>
    </row>
    <row r="116" spans="1:69" x14ac:dyDescent="0.3">
      <c r="A116">
        <v>21292</v>
      </c>
      <c r="B116">
        <v>2021</v>
      </c>
      <c r="C116">
        <v>234</v>
      </c>
      <c r="D116">
        <v>234</v>
      </c>
      <c r="E116">
        <v>3</v>
      </c>
      <c r="F116" t="s">
        <v>104</v>
      </c>
      <c r="G116">
        <v>7</v>
      </c>
      <c r="H116">
        <v>3</v>
      </c>
      <c r="I116">
        <v>4</v>
      </c>
      <c r="J116">
        <v>4</v>
      </c>
      <c r="K116">
        <v>75</v>
      </c>
      <c r="L116">
        <v>5.5556000000000001E-2</v>
      </c>
      <c r="M116" t="s">
        <v>83</v>
      </c>
      <c r="N116" t="s">
        <v>83</v>
      </c>
      <c r="O116" t="s">
        <v>83</v>
      </c>
      <c r="P116" t="s">
        <v>83</v>
      </c>
      <c r="Q116" t="s">
        <v>83</v>
      </c>
      <c r="R116" t="s">
        <v>83</v>
      </c>
      <c r="S116">
        <v>0.3</v>
      </c>
      <c r="T116" t="s">
        <v>83</v>
      </c>
      <c r="U116" t="s">
        <v>83</v>
      </c>
      <c r="V116" t="s">
        <v>83</v>
      </c>
      <c r="W116" t="s">
        <v>83</v>
      </c>
      <c r="X116" t="s">
        <v>83</v>
      </c>
      <c r="Y116">
        <v>0</v>
      </c>
      <c r="Z116" t="s">
        <v>83</v>
      </c>
      <c r="AA116" t="s">
        <v>83</v>
      </c>
      <c r="AB116" t="s">
        <v>83</v>
      </c>
      <c r="AC116" t="s">
        <v>83</v>
      </c>
      <c r="AD116">
        <v>1.9</v>
      </c>
      <c r="AE116" t="s">
        <v>83</v>
      </c>
      <c r="AF116" t="s">
        <v>83</v>
      </c>
      <c r="AG116" t="s">
        <v>83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3</v>
      </c>
      <c r="AQ116">
        <v>1</v>
      </c>
      <c r="AR116">
        <v>0.66100689878140895</v>
      </c>
      <c r="AS116">
        <v>-0.71121196486504301</v>
      </c>
      <c r="AT116">
        <v>-0.259386125909217</v>
      </c>
      <c r="AU116" t="s">
        <v>83</v>
      </c>
      <c r="AV116" t="s">
        <v>83</v>
      </c>
      <c r="AW116" t="s">
        <v>83</v>
      </c>
      <c r="AX116" t="s">
        <v>83</v>
      </c>
      <c r="AY116" t="s">
        <v>83</v>
      </c>
      <c r="AZ116" t="s">
        <v>83</v>
      </c>
      <c r="BA116">
        <v>1.99526231496888</v>
      </c>
      <c r="BB116" t="s">
        <v>83</v>
      </c>
      <c r="BC116" t="s">
        <v>83</v>
      </c>
      <c r="BD116" t="s">
        <v>83</v>
      </c>
      <c r="BE116" t="s">
        <v>83</v>
      </c>
      <c r="BF116" t="s">
        <v>83</v>
      </c>
      <c r="BG116">
        <v>1</v>
      </c>
      <c r="BH116" t="s">
        <v>83</v>
      </c>
      <c r="BI116" t="s">
        <v>83</v>
      </c>
      <c r="BJ116" t="s">
        <v>83</v>
      </c>
      <c r="BK116" t="s">
        <v>83</v>
      </c>
      <c r="BL116" t="s">
        <v>83</v>
      </c>
      <c r="BM116">
        <v>79.432823472428097</v>
      </c>
      <c r="BN116" t="s">
        <v>83</v>
      </c>
      <c r="BO116" t="s">
        <v>83</v>
      </c>
      <c r="BP116">
        <v>82.428085787396995</v>
      </c>
      <c r="BQ116">
        <v>2.2000000000000002</v>
      </c>
    </row>
    <row r="117" spans="1:69" x14ac:dyDescent="0.3">
      <c r="A117">
        <v>21293</v>
      </c>
      <c r="B117">
        <v>2021</v>
      </c>
      <c r="C117">
        <v>240</v>
      </c>
      <c r="D117">
        <v>240</v>
      </c>
      <c r="E117">
        <v>3</v>
      </c>
      <c r="F117" t="s">
        <v>83</v>
      </c>
      <c r="G117" t="s">
        <v>83</v>
      </c>
      <c r="H117">
        <v>2</v>
      </c>
      <c r="I117">
        <v>4</v>
      </c>
      <c r="J117">
        <v>5</v>
      </c>
      <c r="K117">
        <v>40</v>
      </c>
      <c r="L117" t="s">
        <v>83</v>
      </c>
      <c r="M117" t="s">
        <v>83</v>
      </c>
      <c r="N117" t="s">
        <v>83</v>
      </c>
      <c r="O117" t="s">
        <v>83</v>
      </c>
      <c r="P117" t="s">
        <v>83</v>
      </c>
      <c r="Q117" t="s">
        <v>83</v>
      </c>
      <c r="R117" t="s">
        <v>83</v>
      </c>
      <c r="S117">
        <v>-1.1000000000000001</v>
      </c>
      <c r="T117" t="s">
        <v>83</v>
      </c>
      <c r="U117" t="s">
        <v>83</v>
      </c>
      <c r="V117" t="s">
        <v>83</v>
      </c>
      <c r="W117" t="s">
        <v>83</v>
      </c>
      <c r="X117" t="s">
        <v>83</v>
      </c>
      <c r="Y117" t="s">
        <v>83</v>
      </c>
      <c r="Z117" t="s">
        <v>83</v>
      </c>
      <c r="AA117" t="s">
        <v>83</v>
      </c>
      <c r="AB117" t="s">
        <v>83</v>
      </c>
      <c r="AC117">
        <v>0.5</v>
      </c>
      <c r="AD117">
        <v>-0.2</v>
      </c>
      <c r="AE117">
        <v>-0.7</v>
      </c>
      <c r="AF117" t="s">
        <v>83</v>
      </c>
      <c r="AG117" t="s">
        <v>83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3</v>
      </c>
      <c r="AQ117">
        <v>1</v>
      </c>
      <c r="AR117">
        <v>-0.55359327772942901</v>
      </c>
      <c r="AS117" t="s">
        <v>83</v>
      </c>
      <c r="AT117" t="s">
        <v>83</v>
      </c>
      <c r="AU117" t="s">
        <v>83</v>
      </c>
      <c r="AV117" t="s">
        <v>83</v>
      </c>
      <c r="AW117" t="s">
        <v>83</v>
      </c>
      <c r="AX117" t="s">
        <v>83</v>
      </c>
      <c r="AY117" t="s">
        <v>83</v>
      </c>
      <c r="AZ117" t="s">
        <v>83</v>
      </c>
      <c r="BA117">
        <v>7.9432823472428096E-2</v>
      </c>
      <c r="BB117" t="s">
        <v>83</v>
      </c>
      <c r="BC117" t="s">
        <v>83</v>
      </c>
      <c r="BD117" t="s">
        <v>83</v>
      </c>
      <c r="BE117" t="s">
        <v>83</v>
      </c>
      <c r="BF117" t="s">
        <v>83</v>
      </c>
      <c r="BG117" t="s">
        <v>83</v>
      </c>
      <c r="BH117" t="s">
        <v>83</v>
      </c>
      <c r="BI117" t="s">
        <v>83</v>
      </c>
      <c r="BJ117" t="s">
        <v>83</v>
      </c>
      <c r="BK117">
        <v>3.16227766016838</v>
      </c>
      <c r="BL117">
        <v>0.199526231496888</v>
      </c>
      <c r="BM117">
        <v>0.63095734448019303</v>
      </c>
      <c r="BN117" t="s">
        <v>83</v>
      </c>
      <c r="BO117" t="s">
        <v>83</v>
      </c>
      <c r="BP117">
        <v>4.0721940596178898</v>
      </c>
      <c r="BQ117">
        <v>-1.5</v>
      </c>
    </row>
    <row r="118" spans="1:69" x14ac:dyDescent="0.3">
      <c r="A118">
        <v>21294</v>
      </c>
      <c r="B118">
        <v>2021</v>
      </c>
      <c r="C118">
        <v>2018</v>
      </c>
      <c r="D118">
        <v>2018</v>
      </c>
      <c r="E118">
        <v>3</v>
      </c>
      <c r="F118" t="s">
        <v>83</v>
      </c>
      <c r="G118" t="s">
        <v>83</v>
      </c>
      <c r="H118">
        <v>3</v>
      </c>
      <c r="I118">
        <v>3</v>
      </c>
      <c r="J118">
        <v>4</v>
      </c>
      <c r="K118">
        <v>75</v>
      </c>
      <c r="L118" t="s">
        <v>83</v>
      </c>
      <c r="M118" t="s">
        <v>83</v>
      </c>
      <c r="N118" t="s">
        <v>83</v>
      </c>
      <c r="O118">
        <v>-2.4</v>
      </c>
      <c r="P118">
        <v>-2.2999999999999998</v>
      </c>
      <c r="Q118">
        <v>-2.2999999999999998</v>
      </c>
      <c r="R118">
        <v>-3.3</v>
      </c>
      <c r="S118">
        <v>-1.7</v>
      </c>
      <c r="T118" t="s">
        <v>83</v>
      </c>
      <c r="U118" t="s">
        <v>83</v>
      </c>
      <c r="V118">
        <v>-1.7</v>
      </c>
      <c r="W118">
        <v>-0.3</v>
      </c>
      <c r="X118">
        <v>-1.2</v>
      </c>
      <c r="Y118" t="s">
        <v>83</v>
      </c>
      <c r="Z118" t="s">
        <v>83</v>
      </c>
      <c r="AA118">
        <v>0.1</v>
      </c>
      <c r="AB118" t="s">
        <v>83</v>
      </c>
      <c r="AC118" t="s">
        <v>83</v>
      </c>
      <c r="AD118">
        <v>0.6</v>
      </c>
      <c r="AE118">
        <v>-2</v>
      </c>
      <c r="AF118" t="s">
        <v>83</v>
      </c>
      <c r="AG118" t="s">
        <v>83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6</v>
      </c>
      <c r="AQ118">
        <v>1</v>
      </c>
      <c r="AR118">
        <v>0.66100689878140895</v>
      </c>
      <c r="AS118" t="s">
        <v>83</v>
      </c>
      <c r="AT118" t="s">
        <v>83</v>
      </c>
      <c r="AU118" t="s">
        <v>83</v>
      </c>
      <c r="AV118" t="s">
        <v>83</v>
      </c>
      <c r="AW118">
        <v>3.9810717055349699E-3</v>
      </c>
      <c r="AX118">
        <v>5.0118723362727203E-3</v>
      </c>
      <c r="AY118">
        <v>5.0118723362727203E-3</v>
      </c>
      <c r="AZ118">
        <v>5.0118723362727296E-4</v>
      </c>
      <c r="BA118">
        <v>1.9952623149688799E-2</v>
      </c>
      <c r="BB118" t="s">
        <v>83</v>
      </c>
      <c r="BC118" t="s">
        <v>83</v>
      </c>
      <c r="BD118">
        <v>1.9952623149688799E-2</v>
      </c>
      <c r="BE118">
        <v>0.50118723362727202</v>
      </c>
      <c r="BF118">
        <v>6.3095734448019303E-2</v>
      </c>
      <c r="BG118" t="s">
        <v>83</v>
      </c>
      <c r="BH118" t="s">
        <v>83</v>
      </c>
      <c r="BI118">
        <v>1.2589254117941699</v>
      </c>
      <c r="BJ118" t="s">
        <v>83</v>
      </c>
      <c r="BK118" t="s">
        <v>83</v>
      </c>
      <c r="BL118">
        <v>0.01</v>
      </c>
      <c r="BM118">
        <v>3.98107170553497</v>
      </c>
      <c r="BN118" t="s">
        <v>83</v>
      </c>
      <c r="BO118" t="s">
        <v>83</v>
      </c>
      <c r="BP118">
        <v>5.8686913353155203</v>
      </c>
      <c r="BQ118">
        <v>-16.5</v>
      </c>
    </row>
    <row r="119" spans="1:69" x14ac:dyDescent="0.3">
      <c r="A119">
        <v>21295</v>
      </c>
      <c r="B119">
        <v>2021</v>
      </c>
      <c r="C119">
        <v>901</v>
      </c>
      <c r="D119">
        <v>901</v>
      </c>
      <c r="E119">
        <v>3</v>
      </c>
      <c r="F119" t="s">
        <v>116</v>
      </c>
      <c r="G119">
        <v>20</v>
      </c>
      <c r="H119">
        <v>3</v>
      </c>
      <c r="I119">
        <v>3</v>
      </c>
      <c r="J119">
        <v>5</v>
      </c>
      <c r="K119">
        <v>60</v>
      </c>
      <c r="L119">
        <v>0.16666700000000001</v>
      </c>
      <c r="M119" t="s">
        <v>83</v>
      </c>
      <c r="N119" t="s">
        <v>83</v>
      </c>
      <c r="O119" t="s">
        <v>83</v>
      </c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83</v>
      </c>
      <c r="V119" t="s">
        <v>83</v>
      </c>
      <c r="W119" t="s">
        <v>83</v>
      </c>
      <c r="X119" t="s">
        <v>83</v>
      </c>
      <c r="Y119" t="s">
        <v>83</v>
      </c>
      <c r="Z119" t="s">
        <v>83</v>
      </c>
      <c r="AA119" t="s">
        <v>83</v>
      </c>
      <c r="AB119" t="s">
        <v>83</v>
      </c>
      <c r="AC119" t="s">
        <v>83</v>
      </c>
      <c r="AD119">
        <v>1.8</v>
      </c>
      <c r="AE119" t="s">
        <v>83</v>
      </c>
      <c r="AF119" t="s">
        <v>83</v>
      </c>
      <c r="AG119" t="s">
        <v>83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1</v>
      </c>
      <c r="AQ119">
        <v>0</v>
      </c>
      <c r="AR119">
        <v>0.14046396599104899</v>
      </c>
      <c r="AS119">
        <v>0.24275209964896399</v>
      </c>
      <c r="AT119">
        <v>2.6438774178997799</v>
      </c>
      <c r="AU119" t="s">
        <v>83</v>
      </c>
      <c r="AV119" t="s">
        <v>83</v>
      </c>
      <c r="AW119" t="s">
        <v>83</v>
      </c>
      <c r="AX119" t="s">
        <v>83</v>
      </c>
      <c r="AY119" t="s">
        <v>83</v>
      </c>
      <c r="AZ119" t="s">
        <v>83</v>
      </c>
      <c r="BA119" t="s">
        <v>83</v>
      </c>
      <c r="BB119" t="s">
        <v>83</v>
      </c>
      <c r="BC119" t="s">
        <v>83</v>
      </c>
      <c r="BD119" t="s">
        <v>83</v>
      </c>
      <c r="BE119" t="s">
        <v>83</v>
      </c>
      <c r="BF119" t="s">
        <v>83</v>
      </c>
      <c r="BG119" t="s">
        <v>83</v>
      </c>
      <c r="BH119" t="s">
        <v>83</v>
      </c>
      <c r="BI119" t="s">
        <v>83</v>
      </c>
      <c r="BJ119" t="s">
        <v>83</v>
      </c>
      <c r="BK119" t="s">
        <v>83</v>
      </c>
      <c r="BL119" t="s">
        <v>83</v>
      </c>
      <c r="BM119">
        <v>63.0957344480193</v>
      </c>
      <c r="BN119" t="s">
        <v>83</v>
      </c>
      <c r="BO119" t="s">
        <v>83</v>
      </c>
      <c r="BP119">
        <v>63.0957344480193</v>
      </c>
      <c r="BQ119">
        <v>1.8</v>
      </c>
    </row>
    <row r="120" spans="1:69" x14ac:dyDescent="0.3">
      <c r="A120">
        <v>21296</v>
      </c>
      <c r="B120">
        <v>2021</v>
      </c>
      <c r="C120" t="s">
        <v>133</v>
      </c>
      <c r="D120" t="s">
        <v>133</v>
      </c>
      <c r="E120">
        <v>3</v>
      </c>
      <c r="F120" t="s">
        <v>83</v>
      </c>
      <c r="G120" t="s">
        <v>83</v>
      </c>
      <c r="H120">
        <v>3</v>
      </c>
      <c r="I120">
        <v>3</v>
      </c>
      <c r="J120">
        <v>5</v>
      </c>
      <c r="K120">
        <v>60</v>
      </c>
      <c r="L120" t="s">
        <v>83</v>
      </c>
      <c r="M120" t="s">
        <v>83</v>
      </c>
      <c r="N120">
        <v>-1</v>
      </c>
      <c r="O120" t="s">
        <v>83</v>
      </c>
      <c r="P120" t="s">
        <v>83</v>
      </c>
      <c r="Q120">
        <v>-1.4</v>
      </c>
      <c r="R120">
        <v>-2.7</v>
      </c>
      <c r="S120">
        <v>-1.2</v>
      </c>
      <c r="T120" t="s">
        <v>83</v>
      </c>
      <c r="U120" t="s">
        <v>83</v>
      </c>
      <c r="V120">
        <v>-1</v>
      </c>
      <c r="W120" t="s">
        <v>83</v>
      </c>
      <c r="X120">
        <v>-1</v>
      </c>
      <c r="Y120" t="s">
        <v>83</v>
      </c>
      <c r="Z120" t="s">
        <v>83</v>
      </c>
      <c r="AA120" t="s">
        <v>83</v>
      </c>
      <c r="AB120" t="s">
        <v>83</v>
      </c>
      <c r="AC120" t="s">
        <v>83</v>
      </c>
      <c r="AD120">
        <v>0.4</v>
      </c>
      <c r="AE120" t="s">
        <v>83</v>
      </c>
      <c r="AF120" t="s">
        <v>83</v>
      </c>
      <c r="AG120" t="s">
        <v>83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4</v>
      </c>
      <c r="AQ120">
        <v>1</v>
      </c>
      <c r="AR120">
        <v>0.14046396599104899</v>
      </c>
      <c r="AS120" t="s">
        <v>83</v>
      </c>
      <c r="AT120" t="s">
        <v>83</v>
      </c>
      <c r="AU120" t="s">
        <v>83</v>
      </c>
      <c r="AV120">
        <v>0.1</v>
      </c>
      <c r="AW120" t="s">
        <v>83</v>
      </c>
      <c r="AX120" t="s">
        <v>83</v>
      </c>
      <c r="AY120">
        <v>3.9810717055349699E-2</v>
      </c>
      <c r="AZ120">
        <v>1.9952623149688798E-3</v>
      </c>
      <c r="BA120">
        <v>6.3095734448019303E-2</v>
      </c>
      <c r="BB120" t="s">
        <v>83</v>
      </c>
      <c r="BC120" t="s">
        <v>83</v>
      </c>
      <c r="BD120">
        <v>0.1</v>
      </c>
      <c r="BE120" t="s">
        <v>83</v>
      </c>
      <c r="BF120">
        <v>0.1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83</v>
      </c>
      <c r="BM120">
        <v>2.5118864315095801</v>
      </c>
      <c r="BN120" t="s">
        <v>83</v>
      </c>
      <c r="BO120" t="s">
        <v>83</v>
      </c>
      <c r="BP120">
        <v>2.9167881453279199</v>
      </c>
      <c r="BQ120">
        <v>-7.9</v>
      </c>
    </row>
    <row r="121" spans="1:69" x14ac:dyDescent="0.3">
      <c r="A121">
        <v>21297</v>
      </c>
      <c r="B121">
        <v>2021</v>
      </c>
      <c r="C121">
        <v>1908</v>
      </c>
      <c r="D121">
        <v>1908</v>
      </c>
      <c r="E121">
        <v>3</v>
      </c>
      <c r="F121" t="s">
        <v>139</v>
      </c>
      <c r="G121">
        <v>13.5</v>
      </c>
      <c r="H121">
        <v>3</v>
      </c>
      <c r="I121">
        <v>5</v>
      </c>
      <c r="J121">
        <v>5</v>
      </c>
      <c r="K121">
        <v>60</v>
      </c>
      <c r="L121">
        <v>8.3333334999999994E-2</v>
      </c>
      <c r="M121" t="s">
        <v>83</v>
      </c>
      <c r="N121" t="s">
        <v>83</v>
      </c>
      <c r="O121">
        <v>-2.8</v>
      </c>
      <c r="P121" t="s">
        <v>83</v>
      </c>
      <c r="Q121">
        <v>-1.7</v>
      </c>
      <c r="R121" t="s">
        <v>83</v>
      </c>
      <c r="S121">
        <v>-1.9</v>
      </c>
      <c r="T121" t="s">
        <v>83</v>
      </c>
      <c r="U121" t="s">
        <v>83</v>
      </c>
      <c r="V121" t="s">
        <v>83</v>
      </c>
      <c r="W121" t="s">
        <v>83</v>
      </c>
      <c r="X121">
        <v>-1.8</v>
      </c>
      <c r="Y121" t="s">
        <v>83</v>
      </c>
      <c r="Z121" t="s">
        <v>83</v>
      </c>
      <c r="AA121" t="s">
        <v>83</v>
      </c>
      <c r="AB121" t="s">
        <v>83</v>
      </c>
      <c r="AC121" t="s">
        <v>83</v>
      </c>
      <c r="AD121">
        <v>-0.4</v>
      </c>
      <c r="AE121" t="s">
        <v>83</v>
      </c>
      <c r="AF121" t="s">
        <v>83</v>
      </c>
      <c r="AG121" t="s">
        <v>83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3</v>
      </c>
      <c r="AQ121">
        <v>1</v>
      </c>
      <c r="AR121">
        <v>0.14046396599104899</v>
      </c>
      <c r="AS121">
        <v>-0.47272451179588498</v>
      </c>
      <c r="AT121">
        <v>1.1922456459952799</v>
      </c>
      <c r="AU121" t="s">
        <v>83</v>
      </c>
      <c r="AV121" t="s">
        <v>83</v>
      </c>
      <c r="AW121">
        <v>1.58489319246111E-3</v>
      </c>
      <c r="AX121" t="s">
        <v>83</v>
      </c>
      <c r="AY121">
        <v>1.9952623149688799E-2</v>
      </c>
      <c r="AZ121" t="s">
        <v>83</v>
      </c>
      <c r="BA121">
        <v>1.2589254117941699E-2</v>
      </c>
      <c r="BB121" t="s">
        <v>83</v>
      </c>
      <c r="BC121" t="s">
        <v>83</v>
      </c>
      <c r="BD121" t="s">
        <v>83</v>
      </c>
      <c r="BE121" t="s">
        <v>83</v>
      </c>
      <c r="BF121">
        <v>1.58489319246111E-2</v>
      </c>
      <c r="BG121" t="s">
        <v>83</v>
      </c>
      <c r="BH121" t="s">
        <v>83</v>
      </c>
      <c r="BI121" t="s">
        <v>83</v>
      </c>
      <c r="BJ121" t="s">
        <v>83</v>
      </c>
      <c r="BK121" t="s">
        <v>83</v>
      </c>
      <c r="BL121" t="s">
        <v>83</v>
      </c>
      <c r="BM121">
        <v>0.39810717055349698</v>
      </c>
      <c r="BN121" t="s">
        <v>83</v>
      </c>
      <c r="BO121" t="s">
        <v>83</v>
      </c>
      <c r="BP121">
        <v>0.44808287293819998</v>
      </c>
      <c r="BQ121">
        <v>-8.6</v>
      </c>
    </row>
    <row r="122" spans="1:69" x14ac:dyDescent="0.3">
      <c r="A122">
        <v>21298</v>
      </c>
      <c r="B122">
        <v>2021</v>
      </c>
      <c r="C122">
        <v>911</v>
      </c>
      <c r="D122">
        <v>911</v>
      </c>
      <c r="E122">
        <v>3</v>
      </c>
      <c r="F122" t="s">
        <v>118</v>
      </c>
      <c r="G122">
        <v>6</v>
      </c>
      <c r="H122">
        <v>1</v>
      </c>
      <c r="I122">
        <v>1</v>
      </c>
      <c r="J122">
        <v>4</v>
      </c>
      <c r="K122">
        <v>25</v>
      </c>
      <c r="L122">
        <v>0.27777800000000002</v>
      </c>
      <c r="M122" t="s">
        <v>83</v>
      </c>
      <c r="N122">
        <v>0.7</v>
      </c>
      <c r="O122" t="s">
        <v>83</v>
      </c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83</v>
      </c>
      <c r="V122">
        <v>-0.1</v>
      </c>
      <c r="W122" t="s">
        <v>83</v>
      </c>
      <c r="X122">
        <v>-0.2</v>
      </c>
      <c r="Y122" t="s">
        <v>83</v>
      </c>
      <c r="Z122" t="s">
        <v>83</v>
      </c>
      <c r="AA122" t="s">
        <v>83</v>
      </c>
      <c r="AB122" t="s">
        <v>83</v>
      </c>
      <c r="AC122">
        <v>0.5</v>
      </c>
      <c r="AD122">
        <v>1.8</v>
      </c>
      <c r="AE122">
        <v>0</v>
      </c>
      <c r="AF122" t="s">
        <v>83</v>
      </c>
      <c r="AG122" t="s">
        <v>83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5</v>
      </c>
      <c r="AQ122">
        <v>1</v>
      </c>
      <c r="AR122">
        <v>-1.07413621051979</v>
      </c>
      <c r="AS122">
        <v>1.19671616416297</v>
      </c>
      <c r="AT122">
        <v>-0.48271409081760103</v>
      </c>
      <c r="AU122" t="s">
        <v>83</v>
      </c>
      <c r="AV122">
        <v>5.0118723362727202</v>
      </c>
      <c r="AW122" t="s">
        <v>83</v>
      </c>
      <c r="AX122" t="s">
        <v>83</v>
      </c>
      <c r="AY122" t="s">
        <v>83</v>
      </c>
      <c r="AZ122" t="s">
        <v>83</v>
      </c>
      <c r="BA122" t="s">
        <v>83</v>
      </c>
      <c r="BB122" t="s">
        <v>83</v>
      </c>
      <c r="BC122" t="s">
        <v>83</v>
      </c>
      <c r="BD122">
        <v>0.79432823472428105</v>
      </c>
      <c r="BE122" t="s">
        <v>83</v>
      </c>
      <c r="BF122">
        <v>0.63095734448019303</v>
      </c>
      <c r="BG122" t="s">
        <v>83</v>
      </c>
      <c r="BH122" t="s">
        <v>83</v>
      </c>
      <c r="BI122" t="s">
        <v>83</v>
      </c>
      <c r="BJ122" t="s">
        <v>83</v>
      </c>
      <c r="BK122">
        <v>3.16227766016838</v>
      </c>
      <c r="BL122">
        <v>1</v>
      </c>
      <c r="BM122">
        <v>63.0957344480193</v>
      </c>
      <c r="BN122" t="s">
        <v>83</v>
      </c>
      <c r="BO122" t="s">
        <v>83</v>
      </c>
      <c r="BP122">
        <v>73.6951700236649</v>
      </c>
      <c r="BQ122">
        <v>2.7</v>
      </c>
    </row>
    <row r="123" spans="1:69" x14ac:dyDescent="0.3">
      <c r="A123">
        <v>21299</v>
      </c>
      <c r="B123">
        <v>2021</v>
      </c>
      <c r="C123">
        <v>12</v>
      </c>
      <c r="D123">
        <v>12</v>
      </c>
      <c r="E123">
        <v>3</v>
      </c>
      <c r="F123" t="s">
        <v>85</v>
      </c>
      <c r="G123" t="s">
        <v>83</v>
      </c>
      <c r="H123">
        <v>3</v>
      </c>
      <c r="I123">
        <v>3</v>
      </c>
      <c r="J123">
        <v>3</v>
      </c>
      <c r="K123">
        <v>100</v>
      </c>
      <c r="L123">
        <v>0</v>
      </c>
      <c r="M123" t="s">
        <v>83</v>
      </c>
      <c r="N123" t="s">
        <v>83</v>
      </c>
      <c r="O123">
        <v>-4.4000000000000004</v>
      </c>
      <c r="P123">
        <v>-4.5999999999999996</v>
      </c>
      <c r="Q123">
        <v>-3.5</v>
      </c>
      <c r="R123" t="s">
        <v>83</v>
      </c>
      <c r="S123">
        <v>-0.9</v>
      </c>
      <c r="T123" t="s">
        <v>83</v>
      </c>
      <c r="U123" t="s">
        <v>83</v>
      </c>
      <c r="V123" t="s">
        <v>83</v>
      </c>
      <c r="W123" t="s">
        <v>83</v>
      </c>
      <c r="X123">
        <v>-3</v>
      </c>
      <c r="Y123" t="s">
        <v>83</v>
      </c>
      <c r="Z123" t="s">
        <v>83</v>
      </c>
      <c r="AA123">
        <v>-1.8</v>
      </c>
      <c r="AB123">
        <v>-2.9</v>
      </c>
      <c r="AC123">
        <v>-2.2999999999999998</v>
      </c>
      <c r="AD123">
        <v>-2.4</v>
      </c>
      <c r="AE123" t="s">
        <v>83</v>
      </c>
      <c r="AF123" t="s">
        <v>83</v>
      </c>
      <c r="AG123" t="s">
        <v>83</v>
      </c>
      <c r="AH123">
        <v>1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5</v>
      </c>
      <c r="AQ123">
        <v>1</v>
      </c>
      <c r="AR123">
        <v>1.5285784534320099</v>
      </c>
      <c r="AS123">
        <v>-1.18819828996463</v>
      </c>
      <c r="AT123" t="s">
        <v>83</v>
      </c>
      <c r="AU123" t="s">
        <v>83</v>
      </c>
      <c r="AV123" t="s">
        <v>83</v>
      </c>
      <c r="AW123" s="1" t="s">
        <v>88</v>
      </c>
      <c r="AX123" s="1" t="s">
        <v>109</v>
      </c>
      <c r="AY123">
        <v>3.1622776601683799E-4</v>
      </c>
      <c r="AZ123" t="s">
        <v>83</v>
      </c>
      <c r="BA123">
        <v>0.12589254117941701</v>
      </c>
      <c r="BB123" t="s">
        <v>83</v>
      </c>
      <c r="BC123" t="s">
        <v>83</v>
      </c>
      <c r="BD123" t="s">
        <v>83</v>
      </c>
      <c r="BE123" t="s">
        <v>83</v>
      </c>
      <c r="BF123">
        <v>1E-3</v>
      </c>
      <c r="BG123" t="s">
        <v>83</v>
      </c>
      <c r="BH123" t="s">
        <v>83</v>
      </c>
      <c r="BI123">
        <v>1.58489319246111E-2</v>
      </c>
      <c r="BJ123">
        <v>1.2589254117941701E-3</v>
      </c>
      <c r="BK123">
        <v>5.0118723362727203E-3</v>
      </c>
      <c r="BL123" t="s">
        <v>83</v>
      </c>
      <c r="BM123">
        <v>3.9810717055349699E-3</v>
      </c>
      <c r="BN123" t="s">
        <v>83</v>
      </c>
      <c r="BO123" t="s">
        <v>83</v>
      </c>
      <c r="BP123">
        <v>0.153374499905017</v>
      </c>
      <c r="BQ123">
        <v>-25.8</v>
      </c>
    </row>
    <row r="124" spans="1:69" x14ac:dyDescent="0.3">
      <c r="A124">
        <v>21300</v>
      </c>
      <c r="B124">
        <v>2021</v>
      </c>
      <c r="C124">
        <v>10</v>
      </c>
      <c r="D124">
        <v>10</v>
      </c>
      <c r="E124">
        <v>3</v>
      </c>
      <c r="F124" t="s">
        <v>143</v>
      </c>
      <c r="G124">
        <v>7</v>
      </c>
      <c r="H124">
        <v>2</v>
      </c>
      <c r="I124">
        <v>3</v>
      </c>
      <c r="J124">
        <v>4</v>
      </c>
      <c r="K124">
        <v>50</v>
      </c>
      <c r="L124">
        <v>0.111111115</v>
      </c>
      <c r="M124" t="s">
        <v>83</v>
      </c>
      <c r="N124" t="s">
        <v>83</v>
      </c>
      <c r="O124" t="s">
        <v>83</v>
      </c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83</v>
      </c>
      <c r="V124" t="s">
        <v>83</v>
      </c>
      <c r="W124" t="s">
        <v>83</v>
      </c>
      <c r="X124" t="s">
        <v>83</v>
      </c>
      <c r="Y124" t="s">
        <v>83</v>
      </c>
      <c r="Z124" t="s">
        <v>83</v>
      </c>
      <c r="AA124" t="s">
        <v>83</v>
      </c>
      <c r="AB124" t="s">
        <v>83</v>
      </c>
      <c r="AC124" t="s">
        <v>83</v>
      </c>
      <c r="AD124">
        <v>0.9</v>
      </c>
      <c r="AE124" t="s">
        <v>83</v>
      </c>
      <c r="AF124" t="s">
        <v>83</v>
      </c>
      <c r="AG124" t="s">
        <v>83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1</v>
      </c>
      <c r="AQ124">
        <v>0</v>
      </c>
      <c r="AR124">
        <v>-0.20656465586919001</v>
      </c>
      <c r="AS124">
        <v>-0.234233238096828</v>
      </c>
      <c r="AT124">
        <v>-0.259386125909217</v>
      </c>
      <c r="AU124" t="s">
        <v>83</v>
      </c>
      <c r="AV124" t="s">
        <v>83</v>
      </c>
      <c r="AW124" t="s">
        <v>83</v>
      </c>
      <c r="AX124" t="s">
        <v>83</v>
      </c>
      <c r="AY124" t="s">
        <v>83</v>
      </c>
      <c r="AZ124" t="s">
        <v>83</v>
      </c>
      <c r="BA124" t="s">
        <v>83</v>
      </c>
      <c r="BB124" t="s">
        <v>83</v>
      </c>
      <c r="BC124" t="s">
        <v>83</v>
      </c>
      <c r="BD124" t="s">
        <v>83</v>
      </c>
      <c r="BE124" t="s">
        <v>83</v>
      </c>
      <c r="BF124" t="s">
        <v>83</v>
      </c>
      <c r="BG124" t="s">
        <v>83</v>
      </c>
      <c r="BH124" t="s">
        <v>83</v>
      </c>
      <c r="BI124" t="s">
        <v>83</v>
      </c>
      <c r="BJ124" t="s">
        <v>83</v>
      </c>
      <c r="BK124" t="s">
        <v>83</v>
      </c>
      <c r="BL124" t="s">
        <v>83</v>
      </c>
      <c r="BM124">
        <v>7.9432823472428202</v>
      </c>
      <c r="BN124" t="s">
        <v>83</v>
      </c>
      <c r="BO124" t="s">
        <v>83</v>
      </c>
      <c r="BP124">
        <v>7.9432823472428202</v>
      </c>
      <c r="BQ124">
        <v>0.9</v>
      </c>
    </row>
    <row r="125" spans="1:69" x14ac:dyDescent="0.3">
      <c r="A125">
        <v>21301</v>
      </c>
      <c r="B125">
        <v>2020</v>
      </c>
      <c r="C125">
        <v>65</v>
      </c>
      <c r="D125">
        <v>157</v>
      </c>
      <c r="E125">
        <v>3</v>
      </c>
      <c r="F125" t="s">
        <v>138</v>
      </c>
      <c r="G125">
        <v>10</v>
      </c>
      <c r="H125">
        <v>3</v>
      </c>
      <c r="I125">
        <v>3</v>
      </c>
      <c r="J125">
        <v>5</v>
      </c>
      <c r="K125">
        <v>60</v>
      </c>
      <c r="L125" t="s">
        <v>83</v>
      </c>
      <c r="M125" t="s">
        <v>83</v>
      </c>
      <c r="N125" t="s">
        <v>83</v>
      </c>
      <c r="O125" t="s">
        <v>83</v>
      </c>
      <c r="P125" t="s">
        <v>83</v>
      </c>
      <c r="Q125" t="s">
        <v>83</v>
      </c>
      <c r="R125">
        <v>-1</v>
      </c>
      <c r="S125">
        <v>-0.8</v>
      </c>
      <c r="T125" t="s">
        <v>83</v>
      </c>
      <c r="U125" t="s">
        <v>83</v>
      </c>
      <c r="V125" t="s">
        <v>83</v>
      </c>
      <c r="W125" t="s">
        <v>83</v>
      </c>
      <c r="X125" t="s">
        <v>83</v>
      </c>
      <c r="Y125" t="s">
        <v>83</v>
      </c>
      <c r="Z125" t="s">
        <v>83</v>
      </c>
      <c r="AA125" t="s">
        <v>83</v>
      </c>
      <c r="AB125" t="s">
        <v>83</v>
      </c>
      <c r="AC125" t="s">
        <v>83</v>
      </c>
      <c r="AD125">
        <v>-0.5</v>
      </c>
      <c r="AE125" t="s">
        <v>83</v>
      </c>
      <c r="AF125" t="s">
        <v>83</v>
      </c>
      <c r="AG125" t="s">
        <v>83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2</v>
      </c>
      <c r="AQ125">
        <v>0</v>
      </c>
      <c r="AR125">
        <v>0.14046396599104899</v>
      </c>
      <c r="AS125" t="s">
        <v>83</v>
      </c>
      <c r="AT125">
        <v>0.41059776881593502</v>
      </c>
      <c r="AU125" t="s">
        <v>83</v>
      </c>
      <c r="AV125" t="s">
        <v>83</v>
      </c>
      <c r="AW125" t="s">
        <v>83</v>
      </c>
      <c r="AX125" t="s">
        <v>83</v>
      </c>
      <c r="AY125" t="s">
        <v>83</v>
      </c>
      <c r="AZ125">
        <v>0.1</v>
      </c>
      <c r="BA125">
        <v>0.15848931924611101</v>
      </c>
      <c r="BB125" t="s">
        <v>83</v>
      </c>
      <c r="BC125" t="s">
        <v>83</v>
      </c>
      <c r="BD125" t="s">
        <v>83</v>
      </c>
      <c r="BE125" t="s">
        <v>83</v>
      </c>
      <c r="BF125" t="s">
        <v>83</v>
      </c>
      <c r="BG125" t="s">
        <v>83</v>
      </c>
      <c r="BH125" t="s">
        <v>83</v>
      </c>
      <c r="BI125" t="s">
        <v>83</v>
      </c>
      <c r="BJ125" t="s">
        <v>83</v>
      </c>
      <c r="BK125" t="s">
        <v>83</v>
      </c>
      <c r="BL125" t="s">
        <v>83</v>
      </c>
      <c r="BM125">
        <v>0.316227766016838</v>
      </c>
      <c r="BN125" t="s">
        <v>83</v>
      </c>
      <c r="BO125" t="s">
        <v>83</v>
      </c>
      <c r="BP125">
        <v>0.57471708526294896</v>
      </c>
      <c r="BQ125">
        <v>-2.2999999999999998</v>
      </c>
    </row>
    <row r="126" spans="1:69" x14ac:dyDescent="0.3">
      <c r="A126">
        <v>21354</v>
      </c>
      <c r="B126">
        <v>2021</v>
      </c>
      <c r="C126">
        <v>305</v>
      </c>
      <c r="D126">
        <v>305</v>
      </c>
      <c r="E126">
        <v>3</v>
      </c>
      <c r="F126" t="s">
        <v>83</v>
      </c>
      <c r="G126" t="s">
        <v>83</v>
      </c>
      <c r="H126">
        <v>3</v>
      </c>
      <c r="I126">
        <v>4</v>
      </c>
      <c r="J126">
        <v>4</v>
      </c>
      <c r="K126">
        <v>75</v>
      </c>
      <c r="L126" t="s">
        <v>83</v>
      </c>
      <c r="M126" t="s">
        <v>83</v>
      </c>
      <c r="N126" t="s">
        <v>83</v>
      </c>
      <c r="O126" t="s">
        <v>83</v>
      </c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83</v>
      </c>
      <c r="V126">
        <v>-2.4</v>
      </c>
      <c r="W126">
        <v>-2.7</v>
      </c>
      <c r="X126" t="s">
        <v>83</v>
      </c>
      <c r="Y126" t="s">
        <v>83</v>
      </c>
      <c r="Z126" t="s">
        <v>83</v>
      </c>
      <c r="AA126" t="s">
        <v>83</v>
      </c>
      <c r="AB126" t="s">
        <v>83</v>
      </c>
      <c r="AC126" t="s">
        <v>83</v>
      </c>
      <c r="AD126">
        <v>0.6</v>
      </c>
      <c r="AE126" t="s">
        <v>83</v>
      </c>
      <c r="AF126" t="s">
        <v>83</v>
      </c>
      <c r="AG126" t="s">
        <v>83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3</v>
      </c>
      <c r="AQ126">
        <v>1</v>
      </c>
      <c r="AR126">
        <v>0.66100689878140895</v>
      </c>
      <c r="AS126" t="s">
        <v>83</v>
      </c>
      <c r="AT126" t="s">
        <v>83</v>
      </c>
      <c r="AU126" t="s">
        <v>83</v>
      </c>
      <c r="AV126" t="s">
        <v>83</v>
      </c>
      <c r="AW126" t="s">
        <v>83</v>
      </c>
      <c r="AX126" t="s">
        <v>83</v>
      </c>
      <c r="AY126" t="s">
        <v>83</v>
      </c>
      <c r="AZ126" t="s">
        <v>83</v>
      </c>
      <c r="BA126" t="s">
        <v>83</v>
      </c>
      <c r="BB126" t="s">
        <v>83</v>
      </c>
      <c r="BC126" t="s">
        <v>83</v>
      </c>
      <c r="BD126">
        <v>3.9810717055349699E-3</v>
      </c>
      <c r="BE126">
        <v>1.9952623149688798E-3</v>
      </c>
      <c r="BF126" t="s">
        <v>83</v>
      </c>
      <c r="BG126" t="s">
        <v>83</v>
      </c>
      <c r="BH126" t="s">
        <v>83</v>
      </c>
      <c r="BI126" t="s">
        <v>83</v>
      </c>
      <c r="BJ126" t="s">
        <v>83</v>
      </c>
      <c r="BK126" t="s">
        <v>83</v>
      </c>
      <c r="BL126" t="s">
        <v>83</v>
      </c>
      <c r="BM126">
        <v>3.98107170553497</v>
      </c>
      <c r="BN126" t="s">
        <v>83</v>
      </c>
      <c r="BO126" t="s">
        <v>83</v>
      </c>
      <c r="BP126">
        <v>3.9870480395554799</v>
      </c>
      <c r="BQ126">
        <v>-4.5</v>
      </c>
    </row>
    <row r="127" spans="1:69" x14ac:dyDescent="0.3">
      <c r="A127">
        <v>21355</v>
      </c>
      <c r="B127">
        <v>2021</v>
      </c>
      <c r="C127">
        <v>304</v>
      </c>
      <c r="D127">
        <v>304</v>
      </c>
      <c r="E127">
        <v>3</v>
      </c>
      <c r="F127" t="s">
        <v>110</v>
      </c>
      <c r="G127">
        <v>7</v>
      </c>
      <c r="H127">
        <v>2</v>
      </c>
      <c r="I127">
        <v>2</v>
      </c>
      <c r="J127">
        <v>3</v>
      </c>
      <c r="K127">
        <v>67</v>
      </c>
      <c r="L127">
        <v>5.5555559999999997E-2</v>
      </c>
      <c r="M127" t="s">
        <v>83</v>
      </c>
      <c r="N127" t="s">
        <v>83</v>
      </c>
      <c r="O127" t="s">
        <v>83</v>
      </c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83</v>
      </c>
      <c r="V127">
        <v>-0.2</v>
      </c>
      <c r="W127">
        <v>-0.6</v>
      </c>
      <c r="X127" t="s">
        <v>83</v>
      </c>
      <c r="Y127" t="s">
        <v>83</v>
      </c>
      <c r="Z127" t="s">
        <v>83</v>
      </c>
      <c r="AA127" t="s">
        <v>83</v>
      </c>
      <c r="AB127" t="s">
        <v>83</v>
      </c>
      <c r="AC127" t="s">
        <v>83</v>
      </c>
      <c r="AD127">
        <v>2</v>
      </c>
      <c r="AE127" t="s">
        <v>83</v>
      </c>
      <c r="AF127" t="s">
        <v>83</v>
      </c>
      <c r="AG127" t="s">
        <v>83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3</v>
      </c>
      <c r="AQ127">
        <v>1</v>
      </c>
      <c r="AR127">
        <v>0.38338400129321698</v>
      </c>
      <c r="AS127">
        <v>-0.71121574256651598</v>
      </c>
      <c r="AT127">
        <v>-0.259386125909217</v>
      </c>
      <c r="AU127" t="s">
        <v>83</v>
      </c>
      <c r="AV127" t="s">
        <v>83</v>
      </c>
      <c r="AW127" t="s">
        <v>83</v>
      </c>
      <c r="AX127" t="s">
        <v>83</v>
      </c>
      <c r="AY127" t="s">
        <v>83</v>
      </c>
      <c r="AZ127" t="s">
        <v>83</v>
      </c>
      <c r="BA127" t="s">
        <v>83</v>
      </c>
      <c r="BB127" t="s">
        <v>83</v>
      </c>
      <c r="BC127" t="s">
        <v>83</v>
      </c>
      <c r="BD127">
        <v>0.63095734448019303</v>
      </c>
      <c r="BE127">
        <v>0.25118864315095801</v>
      </c>
      <c r="BF127" t="s">
        <v>83</v>
      </c>
      <c r="BG127" t="s">
        <v>83</v>
      </c>
      <c r="BH127" t="s">
        <v>83</v>
      </c>
      <c r="BI127" t="s">
        <v>83</v>
      </c>
      <c r="BJ127" t="s">
        <v>83</v>
      </c>
      <c r="BK127" t="s">
        <v>83</v>
      </c>
      <c r="BL127" t="s">
        <v>83</v>
      </c>
      <c r="BM127">
        <v>100</v>
      </c>
      <c r="BN127" t="s">
        <v>83</v>
      </c>
      <c r="BO127" t="s">
        <v>83</v>
      </c>
      <c r="BP127">
        <v>100.88214598763101</v>
      </c>
      <c r="BQ12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Variable_SumStat</vt:lpstr>
      <vt:lpstr>Class_SumStat</vt:lpstr>
      <vt:lpstr>Gene_SumState</vt:lpstr>
      <vt:lpstr>GeneBLATEM_ClassicTable</vt:lpstr>
      <vt:lpstr>Gene_ClassicTable</vt:lpstr>
      <vt:lpstr>Raw_Clean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</cp:lastModifiedBy>
  <dcterms:created xsi:type="dcterms:W3CDTF">2024-12-10T18:27:19Z</dcterms:created>
  <dcterms:modified xsi:type="dcterms:W3CDTF">2024-12-10T18:56:21Z</dcterms:modified>
</cp:coreProperties>
</file>